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E436529F-8BE7-7442-B82E-1549D92C693C}" xr6:coauthVersionLast="47" xr6:coauthVersionMax="47" xr10:uidLastSave="{00000000-0000-0000-0000-000000000000}"/>
  <bookViews>
    <workbookView xWindow="3880" yWindow="3160" windowWidth="27240" windowHeight="16180" xr2:uid="{073B783C-2384-B941-BB01-635E5A739C83}"/>
  </bookViews>
  <sheets>
    <sheet name="Outliers Z - 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I4" i="1"/>
  <c r="E4" i="1"/>
  <c r="F4" i="1" s="1"/>
  <c r="G4" i="1" s="1"/>
  <c r="E3" i="1"/>
  <c r="F3" i="1" s="1"/>
  <c r="G3" i="1" s="1"/>
  <c r="E2" i="1"/>
  <c r="F2" i="1" s="1"/>
  <c r="G2" i="1" s="1"/>
</calcChain>
</file>

<file path=xl/sharedStrings.xml><?xml version="1.0" encoding="utf-8"?>
<sst xmlns="http://schemas.openxmlformats.org/spreadsheetml/2006/main" count="13" uniqueCount="13">
  <si>
    <t xml:space="preserve">ID VENDEDOR </t>
  </si>
  <si>
    <t xml:space="preserve">TOTAL </t>
  </si>
  <si>
    <t xml:space="preserve">PROMEDIO </t>
  </si>
  <si>
    <t>Desviación</t>
  </si>
  <si>
    <t>Zcore</t>
  </si>
  <si>
    <t>Columna 1</t>
  </si>
  <si>
    <t>MEDIA</t>
  </si>
  <si>
    <t>DESVIACIÓN</t>
  </si>
  <si>
    <t>Desviacion - Desvest</t>
  </si>
  <si>
    <t>COEF. Variación (%) . Desv. Estandar / promedio * 100</t>
  </si>
  <si>
    <t xml:space="preserve">Zcore. (dato - promedio) / desv. Estandar </t>
  </si>
  <si>
    <t>abs (Valor absoluto) Zcore &gt; 3 o &gt;-3 ATÍPICO</t>
  </si>
  <si>
    <t>Si (ABS (ZCORE) &gt; 3; "Atipico" ; 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</si>
</sst>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2"/>
      <color theme="1"/>
      <name val="Trebuchet MS"/>
      <family val="2"/>
      <scheme val="minor"/>
    </font>
    <font>
      <b/>
      <sz val="12"/>
      <color theme="3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4" xfId="0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0" fillId="2" borderId="5" xfId="0" applyFill="1" applyBorder="1"/>
    <xf numFmtId="0" fontId="0" fillId="2" borderId="7" xfId="0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0" fillId="2" borderId="8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3" xfId="0" applyNumberFormat="1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11">
    <dxf>
      <numFmt numFmtId="0" formatCode="General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#,##0.00\ &quot;€&quot;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7C1EC-A361-DE4A-A4E8-14AE900EB183}" name="Tabla2" displayName="Tabla2" ref="B1:G31" totalsRowShown="0" headerRowDxfId="10" dataDxfId="8" headerRowBorderDxfId="9" tableBorderDxfId="7" totalsRowBorderDxfId="6">
  <autoFilter ref="B1:G31" xr:uid="{0AF21427-3DE1-9941-9DEA-9835C484671A}"/>
  <tableColumns count="6">
    <tableColumn id="1" xr3:uid="{DA644755-4A75-0E46-B94E-59BEF042277A}" name="ID VENDEDOR " dataDxfId="5"/>
    <tableColumn id="2" xr3:uid="{48A4537A-BE16-954F-A99F-DE11D2D66087}" name="TOTAL " dataDxfId="4"/>
    <tableColumn id="3" xr3:uid="{5C0FD5EB-C736-B441-B685-04154D34D832}" name="PROMEDIO " dataDxfId="3"/>
    <tableColumn id="4" xr3:uid="{B8077865-9DD4-4D4F-95B2-C1445CA21FB4}" name="Desviación" dataDxfId="2">
      <calculatedColumnFormula>STDEV(C$2:C$31)</calculatedColumnFormula>
    </tableColumn>
    <tableColumn id="5" xr3:uid="{73EBDF49-9331-B24B-90A6-CA393E8708B5}" name="Zcore" dataDxfId="1">
      <calculatedColumnFormula>(C2-D2)/E2</calculatedColumnFormula>
    </tableColumn>
    <tableColumn id="6" xr3:uid="{510F52EC-5FBD-E449-9813-5015F7D21B3D}" name="Columna 1" dataDxfId="0">
      <calculatedColumnFormula>IF(ABS(F2)&gt;3,"Atípico"," 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CDC6-B16D-9342-9763-3371E5CA284D}">
  <sheetPr codeName="Sheet3"/>
  <dimension ref="B1:I38"/>
  <sheetViews>
    <sheetView tabSelected="1" workbookViewId="0">
      <selection activeCell="I13" sqref="I13"/>
    </sheetView>
  </sheetViews>
  <sheetFormatPr baseColWidth="10" defaultRowHeight="16" x14ac:dyDescent="0.2"/>
  <cols>
    <col min="1" max="1" width="10.83203125" style="1"/>
    <col min="2" max="2" width="15.6640625" style="1" customWidth="1"/>
    <col min="3" max="3" width="10.83203125" style="1"/>
    <col min="4" max="4" width="13.1640625" style="1" customWidth="1"/>
    <col min="5" max="5" width="12.6640625" style="1" customWidth="1"/>
    <col min="6" max="6" width="10.83203125" style="1"/>
    <col min="7" max="7" width="12.1640625" style="1" customWidth="1"/>
    <col min="8" max="8" width="11.5" style="1" customWidth="1"/>
    <col min="9" max="9" width="12.33203125" style="1" customWidth="1"/>
    <col min="10" max="16384" width="10.83203125" style="1"/>
  </cols>
  <sheetData>
    <row r="1" spans="2:9" x14ac:dyDescent="0.2">
      <c r="B1" s="10" t="s">
        <v>0</v>
      </c>
      <c r="C1" s="11" t="s">
        <v>1</v>
      </c>
      <c r="D1" s="12" t="s">
        <v>2</v>
      </c>
      <c r="E1" s="13" t="s">
        <v>3</v>
      </c>
      <c r="F1" s="13" t="s">
        <v>4</v>
      </c>
      <c r="G1" s="11" t="s">
        <v>5</v>
      </c>
    </row>
    <row r="2" spans="2:9" x14ac:dyDescent="0.2">
      <c r="B2" s="2">
        <v>1</v>
      </c>
      <c r="C2" s="3">
        <v>1009</v>
      </c>
      <c r="D2" s="4">
        <v>2329.8333333333335</v>
      </c>
      <c r="E2" s="4">
        <f>STDEV(C$2:C$31)</f>
        <v>1928.9660994023918</v>
      </c>
      <c r="F2" s="4">
        <f>(C2-D2)/E2</f>
        <v>-0.68473641591862999</v>
      </c>
      <c r="G2" s="5" t="str">
        <f t="shared" ref="G2:G31" si="0">IF(ABS(F2)&gt;3,"Atípico"," ")</f>
        <v xml:space="preserve"> </v>
      </c>
    </row>
    <row r="3" spans="2:9" x14ac:dyDescent="0.2">
      <c r="B3" s="2">
        <v>2</v>
      </c>
      <c r="C3" s="3">
        <v>2626</v>
      </c>
      <c r="D3" s="4">
        <v>2329.8333333333335</v>
      </c>
      <c r="E3" s="4">
        <f t="shared" ref="E3:E31" si="1">STDEV(C$2:C$31)</f>
        <v>1928.9660994023918</v>
      </c>
      <c r="F3" s="4">
        <f t="shared" ref="F3:F31" si="2">(C3-D3)/E3</f>
        <v>0.15353648089430974</v>
      </c>
      <c r="G3" s="5" t="str">
        <f t="shared" si="0"/>
        <v xml:space="preserve"> </v>
      </c>
      <c r="H3" s="1" t="s">
        <v>6</v>
      </c>
      <c r="I3" s="4">
        <v>2329.8333333333335</v>
      </c>
    </row>
    <row r="4" spans="2:9" x14ac:dyDescent="0.2">
      <c r="B4" s="2">
        <v>3</v>
      </c>
      <c r="C4" s="3">
        <v>2936</v>
      </c>
      <c r="D4" s="4">
        <v>2329.8333333333335</v>
      </c>
      <c r="E4" s="4">
        <f t="shared" si="1"/>
        <v>1928.9660994023918</v>
      </c>
      <c r="F4" s="4">
        <f t="shared" si="2"/>
        <v>0.31424433371559068</v>
      </c>
      <c r="G4" s="5" t="str">
        <f t="shared" si="0"/>
        <v xml:space="preserve"> </v>
      </c>
      <c r="H4" s="1" t="s">
        <v>7</v>
      </c>
      <c r="I4" s="4">
        <f>STDEV(C2:C31)</f>
        <v>1928.9660994023918</v>
      </c>
    </row>
    <row r="5" spans="2:9" x14ac:dyDescent="0.2">
      <c r="B5" s="2">
        <v>4</v>
      </c>
      <c r="C5" s="3">
        <v>1458</v>
      </c>
      <c r="D5" s="4">
        <v>2329.8333333333335</v>
      </c>
      <c r="E5" s="4">
        <f t="shared" si="1"/>
        <v>1928.9660994023918</v>
      </c>
      <c r="F5" s="4">
        <f t="shared" si="2"/>
        <v>-0.45196923554200047</v>
      </c>
      <c r="G5" s="5" t="str">
        <f t="shared" si="0"/>
        <v xml:space="preserve"> </v>
      </c>
    </row>
    <row r="6" spans="2:9" x14ac:dyDescent="0.2">
      <c r="B6" s="2">
        <v>5</v>
      </c>
      <c r="C6" s="3">
        <v>2545</v>
      </c>
      <c r="D6" s="4">
        <v>2329.8333333333335</v>
      </c>
      <c r="E6" s="4">
        <f t="shared" si="1"/>
        <v>1928.9660994023918</v>
      </c>
      <c r="F6" s="4">
        <f t="shared" si="2"/>
        <v>0.1115450741893944</v>
      </c>
      <c r="G6" s="5" t="str">
        <f t="shared" si="0"/>
        <v xml:space="preserve"> </v>
      </c>
    </row>
    <row r="7" spans="2:9" x14ac:dyDescent="0.2">
      <c r="B7" s="2">
        <v>6</v>
      </c>
      <c r="C7" s="3">
        <v>1776</v>
      </c>
      <c r="D7" s="4">
        <v>2329.8333333333335</v>
      </c>
      <c r="E7" s="4">
        <f t="shared" si="1"/>
        <v>1928.9660994023918</v>
      </c>
      <c r="F7" s="4">
        <f t="shared" si="2"/>
        <v>-0.28711408329307353</v>
      </c>
      <c r="G7" s="5" t="str">
        <f t="shared" si="0"/>
        <v xml:space="preserve"> </v>
      </c>
    </row>
    <row r="8" spans="2:9" x14ac:dyDescent="0.2">
      <c r="B8" s="2">
        <v>7</v>
      </c>
      <c r="C8" s="3">
        <v>1698</v>
      </c>
      <c r="D8" s="4">
        <v>2329.8333333333335</v>
      </c>
      <c r="E8" s="4">
        <f t="shared" si="1"/>
        <v>1928.9660994023918</v>
      </c>
      <c r="F8" s="4">
        <f t="shared" si="2"/>
        <v>-0.32755025271262167</v>
      </c>
      <c r="G8" s="5" t="str">
        <f t="shared" si="0"/>
        <v xml:space="preserve"> </v>
      </c>
    </row>
    <row r="9" spans="2:9" x14ac:dyDescent="0.2">
      <c r="B9" s="2">
        <v>8</v>
      </c>
      <c r="C9" s="3">
        <v>12000</v>
      </c>
      <c r="D9" s="4">
        <v>2329.8333333333335</v>
      </c>
      <c r="E9" s="4">
        <f t="shared" si="1"/>
        <v>1928.9660994023918</v>
      </c>
      <c r="F9" s="4">
        <f t="shared" si="2"/>
        <v>5.013134585238463</v>
      </c>
      <c r="G9" s="5" t="str">
        <f t="shared" si="0"/>
        <v>Atípico</v>
      </c>
    </row>
    <row r="10" spans="2:9" x14ac:dyDescent="0.2">
      <c r="B10" s="2">
        <v>9</v>
      </c>
      <c r="C10" s="3">
        <v>2052</v>
      </c>
      <c r="D10" s="4">
        <v>2329.8333333333335</v>
      </c>
      <c r="E10" s="4">
        <f t="shared" si="1"/>
        <v>1928.9660994023918</v>
      </c>
      <c r="F10" s="4">
        <f t="shared" si="2"/>
        <v>-0.14403225303928791</v>
      </c>
      <c r="G10" s="5" t="str">
        <f t="shared" si="0"/>
        <v xml:space="preserve"> </v>
      </c>
    </row>
    <row r="11" spans="2:9" x14ac:dyDescent="0.2">
      <c r="B11" s="2">
        <v>10</v>
      </c>
      <c r="C11" s="3">
        <v>2824</v>
      </c>
      <c r="D11" s="4">
        <v>2329.8333333333335</v>
      </c>
      <c r="E11" s="4">
        <f t="shared" si="1"/>
        <v>1928.9660994023918</v>
      </c>
      <c r="F11" s="4">
        <f t="shared" si="2"/>
        <v>0.25618214172854725</v>
      </c>
      <c r="G11" s="5" t="str">
        <f t="shared" si="0"/>
        <v xml:space="preserve"> </v>
      </c>
    </row>
    <row r="12" spans="2:9" x14ac:dyDescent="0.2">
      <c r="B12" s="2">
        <v>11</v>
      </c>
      <c r="C12" s="3">
        <v>1891</v>
      </c>
      <c r="D12" s="4">
        <v>2329.8333333333335</v>
      </c>
      <c r="E12" s="4">
        <f t="shared" si="1"/>
        <v>1928.9660994023918</v>
      </c>
      <c r="F12" s="4">
        <f t="shared" si="2"/>
        <v>-0.22749665402066285</v>
      </c>
      <c r="G12" s="5" t="str">
        <f t="shared" si="0"/>
        <v xml:space="preserve"> </v>
      </c>
    </row>
    <row r="13" spans="2:9" x14ac:dyDescent="0.2">
      <c r="B13" s="2">
        <v>12</v>
      </c>
      <c r="C13" s="3">
        <v>2034</v>
      </c>
      <c r="D13" s="4">
        <v>2329.8333333333335</v>
      </c>
      <c r="E13" s="4">
        <f t="shared" si="1"/>
        <v>1928.9660994023918</v>
      </c>
      <c r="F13" s="4">
        <f t="shared" si="2"/>
        <v>-0.15336367675149132</v>
      </c>
      <c r="G13" s="5" t="str">
        <f t="shared" si="0"/>
        <v xml:space="preserve"> </v>
      </c>
    </row>
    <row r="14" spans="2:9" x14ac:dyDescent="0.2">
      <c r="B14" s="2">
        <v>13</v>
      </c>
      <c r="C14" s="3">
        <v>1130</v>
      </c>
      <c r="D14" s="4">
        <v>2329.8333333333335</v>
      </c>
      <c r="E14" s="4">
        <f t="shared" si="1"/>
        <v>1928.9660994023918</v>
      </c>
      <c r="F14" s="4">
        <f t="shared" si="2"/>
        <v>-0.6220085120754848</v>
      </c>
      <c r="G14" s="5" t="str">
        <f t="shared" si="0"/>
        <v xml:space="preserve"> </v>
      </c>
    </row>
    <row r="15" spans="2:9" x14ac:dyDescent="0.2">
      <c r="B15" s="2">
        <v>14</v>
      </c>
      <c r="C15" s="3">
        <v>1340</v>
      </c>
      <c r="D15" s="4">
        <v>2329.8333333333335</v>
      </c>
      <c r="E15" s="4">
        <f t="shared" si="1"/>
        <v>1928.9660994023918</v>
      </c>
      <c r="F15" s="4">
        <f t="shared" si="2"/>
        <v>-0.51314190209977839</v>
      </c>
      <c r="G15" s="5" t="str">
        <f t="shared" si="0"/>
        <v xml:space="preserve"> </v>
      </c>
    </row>
    <row r="16" spans="2:9" x14ac:dyDescent="0.2">
      <c r="B16" s="2">
        <v>15</v>
      </c>
      <c r="C16" s="3">
        <v>2625</v>
      </c>
      <c r="D16" s="4">
        <v>2329.8333333333335</v>
      </c>
      <c r="E16" s="4">
        <f t="shared" si="1"/>
        <v>1928.9660994023918</v>
      </c>
      <c r="F16" s="4">
        <f t="shared" si="2"/>
        <v>0.153018068465854</v>
      </c>
      <c r="G16" s="5" t="str">
        <f t="shared" si="0"/>
        <v xml:space="preserve"> </v>
      </c>
    </row>
    <row r="17" spans="2:7" x14ac:dyDescent="0.2">
      <c r="B17" s="2">
        <v>16</v>
      </c>
      <c r="C17" s="3">
        <v>1470</v>
      </c>
      <c r="D17" s="4">
        <v>2329.8333333333335</v>
      </c>
      <c r="E17" s="4">
        <f t="shared" si="1"/>
        <v>1928.9660994023918</v>
      </c>
      <c r="F17" s="4">
        <f t="shared" si="2"/>
        <v>-0.44574828640053149</v>
      </c>
      <c r="G17" s="5" t="str">
        <f t="shared" si="0"/>
        <v xml:space="preserve"> </v>
      </c>
    </row>
    <row r="18" spans="2:7" x14ac:dyDescent="0.2">
      <c r="B18" s="2">
        <v>17</v>
      </c>
      <c r="C18" s="3">
        <v>2057</v>
      </c>
      <c r="D18" s="4">
        <v>2329.8333333333335</v>
      </c>
      <c r="E18" s="4">
        <f t="shared" si="1"/>
        <v>1928.9660994023918</v>
      </c>
      <c r="F18" s="4">
        <f t="shared" si="2"/>
        <v>-0.14144019089700918</v>
      </c>
      <c r="G18" s="5" t="str">
        <f t="shared" si="0"/>
        <v xml:space="preserve"> </v>
      </c>
    </row>
    <row r="19" spans="2:7" x14ac:dyDescent="0.2">
      <c r="B19" s="2">
        <v>18</v>
      </c>
      <c r="C19" s="3">
        <v>1876</v>
      </c>
      <c r="D19" s="4">
        <v>2329.8333333333335</v>
      </c>
      <c r="E19" s="4">
        <f t="shared" si="1"/>
        <v>1928.9660994023918</v>
      </c>
      <c r="F19" s="4">
        <f t="shared" si="2"/>
        <v>-0.23527284044749902</v>
      </c>
      <c r="G19" s="5" t="str">
        <f t="shared" si="0"/>
        <v xml:space="preserve"> </v>
      </c>
    </row>
    <row r="20" spans="2:7" x14ac:dyDescent="0.2">
      <c r="B20" s="2">
        <v>19</v>
      </c>
      <c r="C20" s="3">
        <v>2164</v>
      </c>
      <c r="D20" s="4">
        <v>2329.8333333333335</v>
      </c>
      <c r="E20" s="4">
        <f t="shared" si="1"/>
        <v>1928.9660994023918</v>
      </c>
      <c r="F20" s="4">
        <f t="shared" si="2"/>
        <v>-8.5970061052244459E-2</v>
      </c>
      <c r="G20" s="5" t="str">
        <f t="shared" si="0"/>
        <v xml:space="preserve"> </v>
      </c>
    </row>
    <row r="21" spans="2:7" x14ac:dyDescent="0.2">
      <c r="B21" s="2">
        <v>20</v>
      </c>
      <c r="C21" s="3">
        <v>2911</v>
      </c>
      <c r="D21" s="4">
        <v>2329.8333333333335</v>
      </c>
      <c r="E21" s="4">
        <f t="shared" si="1"/>
        <v>1928.9660994023918</v>
      </c>
      <c r="F21" s="4">
        <f t="shared" si="2"/>
        <v>0.3012840230041971</v>
      </c>
      <c r="G21" s="5" t="str">
        <f t="shared" si="0"/>
        <v xml:space="preserve"> </v>
      </c>
    </row>
    <row r="22" spans="2:7" x14ac:dyDescent="0.2">
      <c r="B22" s="2">
        <v>21</v>
      </c>
      <c r="C22" s="3">
        <v>1702</v>
      </c>
      <c r="D22" s="4">
        <v>2329.8333333333335</v>
      </c>
      <c r="E22" s="4">
        <f t="shared" si="1"/>
        <v>1928.9660994023918</v>
      </c>
      <c r="F22" s="4">
        <f t="shared" si="2"/>
        <v>-0.32547660299879866</v>
      </c>
      <c r="G22" s="5" t="str">
        <f t="shared" si="0"/>
        <v xml:space="preserve"> </v>
      </c>
    </row>
    <row r="23" spans="2:7" x14ac:dyDescent="0.2">
      <c r="B23" s="2">
        <v>22</v>
      </c>
      <c r="C23" s="3">
        <v>1253</v>
      </c>
      <c r="D23" s="4">
        <v>2329.8333333333335</v>
      </c>
      <c r="E23" s="4">
        <f t="shared" si="1"/>
        <v>1928.9660994023918</v>
      </c>
      <c r="F23" s="4">
        <f t="shared" si="2"/>
        <v>-0.55824378337542824</v>
      </c>
      <c r="G23" s="5" t="str">
        <f t="shared" si="0"/>
        <v xml:space="preserve"> </v>
      </c>
    </row>
    <row r="24" spans="2:7" x14ac:dyDescent="0.2">
      <c r="B24" s="2">
        <v>23</v>
      </c>
      <c r="C24" s="3">
        <v>2930</v>
      </c>
      <c r="D24" s="4">
        <v>2329.8333333333335</v>
      </c>
      <c r="E24" s="4">
        <f t="shared" si="1"/>
        <v>1928.9660994023918</v>
      </c>
      <c r="F24" s="4">
        <f t="shared" si="2"/>
        <v>0.31113385914485625</v>
      </c>
      <c r="G24" s="5" t="str">
        <f t="shared" si="0"/>
        <v xml:space="preserve"> </v>
      </c>
    </row>
    <row r="25" spans="2:7" x14ac:dyDescent="0.2">
      <c r="B25" s="2">
        <v>24</v>
      </c>
      <c r="C25" s="3">
        <v>2822</v>
      </c>
      <c r="D25" s="4">
        <v>2329.8333333333335</v>
      </c>
      <c r="E25" s="4">
        <f t="shared" si="1"/>
        <v>1928.9660994023918</v>
      </c>
      <c r="F25" s="4">
        <f t="shared" si="2"/>
        <v>0.25514531687163577</v>
      </c>
      <c r="G25" s="5" t="str">
        <f t="shared" si="0"/>
        <v xml:space="preserve"> </v>
      </c>
    </row>
    <row r="26" spans="2:7" x14ac:dyDescent="0.2">
      <c r="B26" s="2">
        <v>25</v>
      </c>
      <c r="C26" s="3">
        <v>2582</v>
      </c>
      <c r="D26" s="4">
        <v>2329.8333333333335</v>
      </c>
      <c r="E26" s="4">
        <f t="shared" si="1"/>
        <v>1928.9660994023918</v>
      </c>
      <c r="F26" s="4">
        <f t="shared" si="2"/>
        <v>0.13072633404225695</v>
      </c>
      <c r="G26" s="5" t="str">
        <f t="shared" si="0"/>
        <v xml:space="preserve"> </v>
      </c>
    </row>
    <row r="27" spans="2:7" x14ac:dyDescent="0.2">
      <c r="B27" s="2">
        <v>26</v>
      </c>
      <c r="C27" s="3">
        <v>1352</v>
      </c>
      <c r="D27" s="4">
        <v>2329.8333333333335</v>
      </c>
      <c r="E27" s="4">
        <f t="shared" si="1"/>
        <v>1928.9660994023918</v>
      </c>
      <c r="F27" s="4">
        <f t="shared" si="2"/>
        <v>-0.50692095295830941</v>
      </c>
      <c r="G27" s="5" t="str">
        <f t="shared" si="0"/>
        <v xml:space="preserve"> </v>
      </c>
    </row>
    <row r="28" spans="2:7" x14ac:dyDescent="0.2">
      <c r="B28" s="2">
        <v>27</v>
      </c>
      <c r="C28" s="3">
        <v>1656</v>
      </c>
      <c r="D28" s="4">
        <v>2329.8333333333335</v>
      </c>
      <c r="E28" s="4">
        <f t="shared" si="1"/>
        <v>1928.9660994023918</v>
      </c>
      <c r="F28" s="4">
        <f t="shared" si="2"/>
        <v>-0.34932357470776293</v>
      </c>
      <c r="G28" s="5" t="str">
        <f t="shared" si="0"/>
        <v xml:space="preserve"> </v>
      </c>
    </row>
    <row r="29" spans="2:7" x14ac:dyDescent="0.2">
      <c r="B29" s="2">
        <v>28</v>
      </c>
      <c r="C29" s="3">
        <v>1269</v>
      </c>
      <c r="D29" s="4">
        <v>2329.8333333333335</v>
      </c>
      <c r="E29" s="4">
        <f t="shared" si="1"/>
        <v>1928.9660994023918</v>
      </c>
      <c r="F29" s="4">
        <f t="shared" si="2"/>
        <v>-0.5499491845201363</v>
      </c>
      <c r="G29" s="5" t="str">
        <f t="shared" si="0"/>
        <v xml:space="preserve"> </v>
      </c>
    </row>
    <row r="30" spans="2:7" x14ac:dyDescent="0.2">
      <c r="B30" s="2">
        <v>29</v>
      </c>
      <c r="C30" s="3">
        <v>1195</v>
      </c>
      <c r="D30" s="4">
        <v>2329.8333333333335</v>
      </c>
      <c r="E30" s="4">
        <f t="shared" si="1"/>
        <v>1928.9660994023918</v>
      </c>
      <c r="F30" s="4">
        <f t="shared" si="2"/>
        <v>-0.58831170422586143</v>
      </c>
      <c r="G30" s="5" t="str">
        <f t="shared" si="0"/>
        <v xml:space="preserve"> </v>
      </c>
    </row>
    <row r="31" spans="2:7" x14ac:dyDescent="0.2">
      <c r="B31" s="6">
        <v>30</v>
      </c>
      <c r="C31" s="7">
        <v>2712</v>
      </c>
      <c r="D31" s="8">
        <v>2329.8333333333335</v>
      </c>
      <c r="E31" s="8">
        <f t="shared" si="1"/>
        <v>1928.9660994023918</v>
      </c>
      <c r="F31" s="8">
        <f t="shared" si="2"/>
        <v>0.19811994974150382</v>
      </c>
      <c r="G31" s="9" t="str">
        <f t="shared" si="0"/>
        <v xml:space="preserve"> </v>
      </c>
    </row>
    <row r="33" spans="2:2" x14ac:dyDescent="0.2">
      <c r="B33" s="1" t="s">
        <v>8</v>
      </c>
    </row>
    <row r="34" spans="2:2" x14ac:dyDescent="0.2">
      <c r="B34" s="1" t="s">
        <v>9</v>
      </c>
    </row>
    <row r="35" spans="2:2" x14ac:dyDescent="0.2">
      <c r="B35" s="1" t="s">
        <v>10</v>
      </c>
    </row>
    <row r="36" spans="2:2" x14ac:dyDescent="0.2">
      <c r="B36" s="1" t="s">
        <v>11</v>
      </c>
    </row>
    <row r="38" spans="2:2" x14ac:dyDescent="0.2">
      <c r="B38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 Z -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2026-05-07T22:22:43Z</dcterms:created>
  <dcterms:modified xsi:type="dcterms:W3CDTF">2026-05-11T16:41:12Z</dcterms:modified>
</cp:coreProperties>
</file>