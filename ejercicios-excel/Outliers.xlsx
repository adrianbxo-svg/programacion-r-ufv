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rianbartolome/Desktop/x/ufv/adn + ibm/herramientas tecnológicas para el análisis de datos y de negocios/excel/"/>
    </mc:Choice>
  </mc:AlternateContent>
  <xr:revisionPtr revIDLastSave="0" documentId="13_ncr:1_{4C8B18D9-F5CD-1044-BFB2-F11FFDD42E49}" xr6:coauthVersionLast="47" xr6:coauthVersionMax="47" xr10:uidLastSave="{00000000-0000-0000-0000-000000000000}"/>
  <bookViews>
    <workbookView xWindow="3880" yWindow="3160" windowWidth="27240" windowHeight="16180" xr2:uid="{93D3C5E8-46D9-4144-B3A2-1B13B021AC76}"/>
  </bookViews>
  <sheets>
    <sheet name="Outliers" sheetId="1" r:id="rId1"/>
  </sheets>
  <definedNames>
    <definedName name="_xlchart.v1.0" hidden="1">Outliers!$C$2:$C$31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J5" i="1"/>
  <c r="J4" i="1"/>
  <c r="D31" i="1" l="1"/>
  <c r="D2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J9" i="1"/>
  <c r="D9" i="1"/>
  <c r="J8" i="1"/>
  <c r="D8" i="1"/>
  <c r="D30" i="1"/>
  <c r="D7" i="1"/>
  <c r="D6" i="1"/>
  <c r="D5" i="1"/>
  <c r="D4" i="1"/>
  <c r="D3" i="1"/>
  <c r="D29" i="1"/>
  <c r="F10" i="1" l="1"/>
  <c r="F11" i="1"/>
  <c r="F12" i="1"/>
  <c r="F13" i="1"/>
  <c r="F14" i="1"/>
  <c r="F15" i="1"/>
  <c r="F16" i="1"/>
  <c r="F17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F3" i="1"/>
  <c r="F4" i="1"/>
  <c r="F5" i="1"/>
  <c r="F6" i="1"/>
  <c r="F18" i="1"/>
  <c r="F7" i="1"/>
  <c r="F8" i="1"/>
  <c r="F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9" i="1"/>
  <c r="E30" i="1"/>
  <c r="E31" i="1"/>
  <c r="E2" i="1"/>
  <c r="E3" i="1"/>
  <c r="E4" i="1"/>
  <c r="E5" i="1"/>
  <c r="E6" i="1"/>
  <c r="E28" i="1"/>
  <c r="E7" i="1"/>
  <c r="E8" i="1"/>
</calcChain>
</file>

<file path=xl/sharedStrings.xml><?xml version="1.0" encoding="utf-8"?>
<sst xmlns="http://schemas.openxmlformats.org/spreadsheetml/2006/main" count="22" uniqueCount="18">
  <si>
    <t xml:space="preserve">ID VENDEDOR </t>
  </si>
  <si>
    <t xml:space="preserve">TOTAL </t>
  </si>
  <si>
    <t xml:space="preserve">PROMEDIO </t>
  </si>
  <si>
    <t>Linf</t>
  </si>
  <si>
    <t>Lsup</t>
  </si>
  <si>
    <t xml:space="preserve">MEDIA </t>
  </si>
  <si>
    <t>VALOR</t>
  </si>
  <si>
    <t>Promedio</t>
  </si>
  <si>
    <t>Q1</t>
  </si>
  <si>
    <t>Cuartil Exc (Seleccionar , numero de cuartil)</t>
  </si>
  <si>
    <t>Q3</t>
  </si>
  <si>
    <t>IQR=Q3-Q1</t>
  </si>
  <si>
    <t>Media - 1.5 * IQR</t>
  </si>
  <si>
    <t>Media + 1.5 * IQR</t>
  </si>
  <si>
    <t>Formula: ALEATORIO.ENTRE(numero; numero)</t>
  </si>
  <si>
    <t>Pegado especial: Valores</t>
  </si>
  <si>
    <t xml:space="preserve">$Valor$Numero - arrastrar </t>
  </si>
  <si>
    <t>Si el dato es mayor a Limite Inferior o Superior es un dato atípico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</si>
</sst>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2"/>
      <color theme="1"/>
      <name val="Trebuchet MS"/>
      <family val="2"/>
      <scheme val="minor"/>
    </font>
    <font>
      <b/>
      <sz val="12"/>
      <color rgb="FFFF0000"/>
      <name val="Trebuchet MS"/>
      <scheme val="minor"/>
    </font>
    <font>
      <sz val="12"/>
      <color rgb="FFFF0000"/>
      <name val="Trebuchet MS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1" fillId="2" borderId="3" xfId="0" applyNumberFormat="1" applyFont="1" applyFill="1" applyBorder="1"/>
    <xf numFmtId="0" fontId="1" fillId="2" borderId="3" xfId="0" applyFont="1" applyFill="1" applyBorder="1"/>
    <xf numFmtId="0" fontId="2" fillId="2" borderId="0" xfId="0" applyFont="1" applyFill="1"/>
    <xf numFmtId="0" fontId="2" fillId="2" borderId="4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0" fontId="1" fillId="2" borderId="6" xfId="0" applyFont="1" applyFill="1" applyBorder="1"/>
    <xf numFmtId="0" fontId="2" fillId="2" borderId="6" xfId="0" applyFont="1" applyFill="1" applyBorder="1"/>
    <xf numFmtId="164" fontId="2" fillId="2" borderId="7" xfId="0" applyNumberFormat="1" applyFont="1" applyFill="1" applyBorder="1"/>
    <xf numFmtId="164" fontId="2" fillId="2" borderId="8" xfId="0" applyNumberFormat="1" applyFont="1" applyFill="1" applyBorder="1"/>
    <xf numFmtId="0" fontId="2" fillId="2" borderId="9" xfId="0" applyFont="1" applyFill="1" applyBorder="1"/>
    <xf numFmtId="164" fontId="2" fillId="2" borderId="10" xfId="0" applyNumberFormat="1" applyFont="1" applyFill="1" applyBorder="1"/>
    <xf numFmtId="164" fontId="2" fillId="2" borderId="0" xfId="0" applyNumberFormat="1" applyFont="1" applyFill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rgb="FFFF0000"/>
        <name val="Trebuchet MS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rebuchet MS"/>
        <scheme val="minor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rgb="FFFF0000"/>
        <name val="Trebuchet MS"/>
        <scheme val="minor"/>
      </font>
      <numFmt numFmtId="164" formatCode="#,##0.00\ &quot;€&quot;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F0000"/>
        <name val="Trebuchet MS"/>
        <scheme val="minor"/>
      </font>
      <numFmt numFmtId="164" formatCode="#,##0.00\ &quot;€&quot;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F0000"/>
        <name val="Trebuchet MS"/>
        <scheme val="minor"/>
      </font>
      <numFmt numFmtId="164" formatCode="#,##0.00\ &quot;€&quot;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F0000"/>
        <name val="Trebuchet MS"/>
        <scheme val="minor"/>
      </font>
      <numFmt numFmtId="164" formatCode="#,##0.00\ &quot;€&quot;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F0000"/>
        <name val="Trebuchet MS"/>
        <scheme val="minor"/>
      </font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Dispersión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1586797669288151"/>
          <c:y val="0.12550491414740444"/>
          <c:w val="0.83888871176674029"/>
          <c:h val="0.80160685108201546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Outliers!$C$2:$C$31</c:f>
              <c:numCache>
                <c:formatCode>#,##0.00\ "€"</c:formatCode>
                <c:ptCount val="30"/>
                <c:pt idx="0">
                  <c:v>1009</c:v>
                </c:pt>
                <c:pt idx="1">
                  <c:v>2626</c:v>
                </c:pt>
                <c:pt idx="2">
                  <c:v>2936</c:v>
                </c:pt>
                <c:pt idx="3">
                  <c:v>1458</c:v>
                </c:pt>
                <c:pt idx="4">
                  <c:v>2545</c:v>
                </c:pt>
                <c:pt idx="5">
                  <c:v>1776</c:v>
                </c:pt>
                <c:pt idx="6">
                  <c:v>1698</c:v>
                </c:pt>
                <c:pt idx="7">
                  <c:v>12000</c:v>
                </c:pt>
                <c:pt idx="8">
                  <c:v>2052</c:v>
                </c:pt>
                <c:pt idx="9">
                  <c:v>2824</c:v>
                </c:pt>
                <c:pt idx="10">
                  <c:v>1891</c:v>
                </c:pt>
                <c:pt idx="11">
                  <c:v>2034</c:v>
                </c:pt>
                <c:pt idx="12">
                  <c:v>1130</c:v>
                </c:pt>
                <c:pt idx="13">
                  <c:v>1340</c:v>
                </c:pt>
                <c:pt idx="14">
                  <c:v>2625</c:v>
                </c:pt>
                <c:pt idx="15">
                  <c:v>1470</c:v>
                </c:pt>
                <c:pt idx="16">
                  <c:v>2057</c:v>
                </c:pt>
                <c:pt idx="17">
                  <c:v>1876</c:v>
                </c:pt>
                <c:pt idx="18">
                  <c:v>2164</c:v>
                </c:pt>
                <c:pt idx="19">
                  <c:v>2911</c:v>
                </c:pt>
                <c:pt idx="20">
                  <c:v>1702</c:v>
                </c:pt>
                <c:pt idx="21">
                  <c:v>1253</c:v>
                </c:pt>
                <c:pt idx="22">
                  <c:v>2930</c:v>
                </c:pt>
                <c:pt idx="23">
                  <c:v>2822</c:v>
                </c:pt>
                <c:pt idx="24">
                  <c:v>2582</c:v>
                </c:pt>
                <c:pt idx="25">
                  <c:v>1352</c:v>
                </c:pt>
                <c:pt idx="26">
                  <c:v>1656</c:v>
                </c:pt>
                <c:pt idx="27">
                  <c:v>1269</c:v>
                </c:pt>
                <c:pt idx="28">
                  <c:v>1195</c:v>
                </c:pt>
                <c:pt idx="29">
                  <c:v>2712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F0-C84A-8856-C767B79D4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687679"/>
        <c:axId val="1324681407"/>
      </c:scatterChart>
      <c:valAx>
        <c:axId val="132468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4681407"/>
        <c:crosses val="autoZero"/>
        <c:crossBetween val="midCat"/>
      </c:valAx>
      <c:valAx>
        <c:axId val="132468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4687679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Cajas y Bigotes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Cajas y Bigotes</a:t>
          </a:r>
        </a:p>
      </cx:txPr>
    </cx:title>
    <cx:plotArea>
      <cx:plotAreaRegion>
        <cx:plotSurface>
          <cx:spPr>
            <a:solidFill>
              <a:schemeClr val="accent4">
                <a:lumMod val="20000"/>
                <a:lumOff val="80000"/>
              </a:schemeClr>
            </a:solidFill>
          </cx:spPr>
        </cx:plotSurface>
        <cx:series layoutId="boxWhisker" uniqueId="{2641F676-17A7-9444-B58A-0851EEB07AEF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  <cx:spPr>
    <a:solidFill>
      <a:schemeClr val="accent4">
        <a:lumMod val="20000"/>
        <a:lumOff val="80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679740</xdr:colOff>
      <xdr:row>12</xdr:row>
      <xdr:rowOff>13854</xdr:rowOff>
    </xdr:from>
    <xdr:to>
      <xdr:col>14</xdr:col>
      <xdr:colOff>692728</xdr:colOff>
      <xdr:row>31</xdr:row>
      <xdr:rowOff>28863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7EBAC7-B304-814D-BB62-10C94CD0F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116897</xdr:colOff>
      <xdr:row>0</xdr:row>
      <xdr:rowOff>86591</xdr:rowOff>
    </xdr:from>
    <xdr:to>
      <xdr:col>23</xdr:col>
      <xdr:colOff>101021</xdr:colOff>
      <xdr:row>19</xdr:row>
      <xdr:rowOff>116032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F568563B-C118-1A44-88FB-BBB115048B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75797" y="86591"/>
              <a:ext cx="5762624" cy="38902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2B5E12-DE59-0C43-A0C3-1DD1A205D705}" name="Tabla6" displayName="Tabla6" ref="B1:F31" totalsRowShown="0" headerRowDxfId="1" dataDxfId="0" headerRowBorderDxfId="8" tableBorderDxfId="9" totalsRowBorderDxfId="7">
  <autoFilter ref="B1:F31" xr:uid="{BC009A99-DB2B-F34B-84D9-8383FCEE0029}"/>
  <tableColumns count="5">
    <tableColumn id="1" xr3:uid="{778C48D3-8FAC-0748-80CB-043D1343E6CC}" name="ID VENDEDOR " dataDxfId="6"/>
    <tableColumn id="2" xr3:uid="{81E1D617-3D4A-2C42-B0C5-356671DD61CC}" name="TOTAL " dataDxfId="5"/>
    <tableColumn id="3" xr3:uid="{2E2A5284-EF99-8A4C-9463-2A3211AA75CB}" name="PROMEDIO " dataDxfId="4">
      <calculatedColumnFormula>$J$4</calculatedColumnFormula>
    </tableColumn>
    <tableColumn id="4" xr3:uid="{063811E0-F01E-EA4F-85D3-0A2CA819EB6C}" name="Linf" dataDxfId="3">
      <calculatedColumnFormula>$J$8</calculatedColumnFormula>
    </tableColumn>
    <tableColumn id="5" xr3:uid="{2E2975E9-0E71-8144-8AB7-CAA72DF83E67}" name="Lsup" dataDxfId="2">
      <calculatedColumnFormula>$J$9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2C46-11F5-1740-A7DB-16FACC3DE768}">
  <sheetPr codeName="Sheet2"/>
  <dimension ref="B1:K36"/>
  <sheetViews>
    <sheetView tabSelected="1" zoomScale="75" workbookViewId="0">
      <selection activeCell="G16" sqref="G16"/>
    </sheetView>
  </sheetViews>
  <sheetFormatPr baseColWidth="10" defaultRowHeight="16" x14ac:dyDescent="0.2"/>
  <cols>
    <col min="1" max="1" width="10.83203125" style="5"/>
    <col min="2" max="2" width="16.1640625" style="5" customWidth="1"/>
    <col min="3" max="3" width="14" style="5" customWidth="1"/>
    <col min="4" max="4" width="13.5" style="15" customWidth="1"/>
    <col min="5" max="16384" width="10.83203125" style="5"/>
  </cols>
  <sheetData>
    <row r="1" spans="2:11" x14ac:dyDescent="0.2">
      <c r="B1" s="1" t="s">
        <v>0</v>
      </c>
      <c r="C1" s="2" t="s">
        <v>1</v>
      </c>
      <c r="D1" s="3" t="s">
        <v>2</v>
      </c>
      <c r="E1" s="4" t="s">
        <v>3</v>
      </c>
      <c r="F1" s="2" t="s">
        <v>4</v>
      </c>
    </row>
    <row r="2" spans="2:11" x14ac:dyDescent="0.2">
      <c r="B2" s="6">
        <v>1</v>
      </c>
      <c r="C2" s="7">
        <v>1009</v>
      </c>
      <c r="D2" s="8">
        <f>$J$4</f>
        <v>2329.8333333333335</v>
      </c>
      <c r="E2" s="8">
        <f>$J$8</f>
        <v>505.83333333333348</v>
      </c>
      <c r="F2" s="7">
        <f>$J$9</f>
        <v>4153.8333333333339</v>
      </c>
    </row>
    <row r="3" spans="2:11" x14ac:dyDescent="0.2">
      <c r="B3" s="6">
        <v>2</v>
      </c>
      <c r="C3" s="7">
        <v>2626</v>
      </c>
      <c r="D3" s="8">
        <f t="shared" ref="D3:D31" si="0">$J$4</f>
        <v>2329.8333333333335</v>
      </c>
      <c r="E3" s="8">
        <f t="shared" ref="E3:E31" si="1">$J$8</f>
        <v>505.83333333333348</v>
      </c>
      <c r="F3" s="7">
        <f t="shared" ref="F3:F31" si="2">$J$9</f>
        <v>4153.8333333333339</v>
      </c>
      <c r="I3" s="9" t="s">
        <v>5</v>
      </c>
      <c r="J3" s="9" t="s">
        <v>6</v>
      </c>
    </row>
    <row r="4" spans="2:11" x14ac:dyDescent="0.2">
      <c r="B4" s="6">
        <v>3</v>
      </c>
      <c r="C4" s="7">
        <v>2936</v>
      </c>
      <c r="D4" s="8">
        <f t="shared" si="0"/>
        <v>2329.8333333333335</v>
      </c>
      <c r="E4" s="8">
        <f t="shared" si="1"/>
        <v>505.83333333333348</v>
      </c>
      <c r="F4" s="7">
        <f t="shared" si="2"/>
        <v>4153.8333333333339</v>
      </c>
      <c r="I4" s="10" t="s">
        <v>5</v>
      </c>
      <c r="J4" s="8">
        <f>AVERAGE(C2:C31)</f>
        <v>2329.8333333333335</v>
      </c>
      <c r="K4" s="5" t="s">
        <v>7</v>
      </c>
    </row>
    <row r="5" spans="2:11" x14ac:dyDescent="0.2">
      <c r="B5" s="6">
        <v>4</v>
      </c>
      <c r="C5" s="7">
        <v>1458</v>
      </c>
      <c r="D5" s="8">
        <f t="shared" si="0"/>
        <v>2329.8333333333335</v>
      </c>
      <c r="E5" s="8">
        <f t="shared" si="1"/>
        <v>505.83333333333348</v>
      </c>
      <c r="F5" s="7">
        <f t="shared" si="2"/>
        <v>4153.8333333333339</v>
      </c>
      <c r="I5" s="10" t="s">
        <v>8</v>
      </c>
      <c r="J5" s="10">
        <f>_xlfn.QUARTILE.EXC(C2:C31,1)</f>
        <v>1431.5</v>
      </c>
      <c r="K5" s="5" t="s">
        <v>9</v>
      </c>
    </row>
    <row r="6" spans="2:11" x14ac:dyDescent="0.2">
      <c r="B6" s="6">
        <v>5</v>
      </c>
      <c r="C6" s="7">
        <v>2545</v>
      </c>
      <c r="D6" s="8">
        <f t="shared" si="0"/>
        <v>2329.8333333333335</v>
      </c>
      <c r="E6" s="8">
        <f t="shared" si="1"/>
        <v>505.83333333333348</v>
      </c>
      <c r="F6" s="7">
        <f t="shared" si="2"/>
        <v>4153.8333333333339</v>
      </c>
      <c r="I6" s="10" t="s">
        <v>10</v>
      </c>
      <c r="J6" s="10">
        <f>_xlfn.QUARTILE.EXC(C2:C31,3)</f>
        <v>2647.5</v>
      </c>
      <c r="K6" s="5" t="s">
        <v>9</v>
      </c>
    </row>
    <row r="7" spans="2:11" x14ac:dyDescent="0.2">
      <c r="B7" s="6">
        <v>6</v>
      </c>
      <c r="C7" s="7">
        <v>1776</v>
      </c>
      <c r="D7" s="8">
        <f t="shared" si="0"/>
        <v>2329.8333333333335</v>
      </c>
      <c r="E7" s="8">
        <f t="shared" si="1"/>
        <v>505.83333333333348</v>
      </c>
      <c r="F7" s="7">
        <f t="shared" si="2"/>
        <v>4153.8333333333339</v>
      </c>
      <c r="I7" s="10" t="s">
        <v>11</v>
      </c>
      <c r="J7" s="10">
        <f>J6-J5</f>
        <v>1216</v>
      </c>
    </row>
    <row r="8" spans="2:11" x14ac:dyDescent="0.2">
      <c r="B8" s="6">
        <v>7</v>
      </c>
      <c r="C8" s="7">
        <v>1698</v>
      </c>
      <c r="D8" s="8">
        <f t="shared" si="0"/>
        <v>2329.8333333333335</v>
      </c>
      <c r="E8" s="8">
        <f t="shared" si="1"/>
        <v>505.83333333333348</v>
      </c>
      <c r="F8" s="7">
        <f t="shared" si="2"/>
        <v>4153.8333333333339</v>
      </c>
      <c r="I8" s="10" t="s">
        <v>3</v>
      </c>
      <c r="J8" s="8">
        <f>J4-1.5*J7</f>
        <v>505.83333333333348</v>
      </c>
      <c r="K8" s="5" t="s">
        <v>12</v>
      </c>
    </row>
    <row r="9" spans="2:11" x14ac:dyDescent="0.2">
      <c r="B9" s="6">
        <v>8</v>
      </c>
      <c r="C9" s="7">
        <v>12000</v>
      </c>
      <c r="D9" s="8">
        <f t="shared" si="0"/>
        <v>2329.8333333333335</v>
      </c>
      <c r="E9" s="8">
        <f t="shared" si="1"/>
        <v>505.83333333333348</v>
      </c>
      <c r="F9" s="7">
        <f t="shared" si="2"/>
        <v>4153.8333333333339</v>
      </c>
      <c r="I9" s="10" t="s">
        <v>4</v>
      </c>
      <c r="J9" s="11">
        <f>J4+1.5*J7</f>
        <v>4153.8333333333339</v>
      </c>
      <c r="K9" s="5" t="s">
        <v>13</v>
      </c>
    </row>
    <row r="10" spans="2:11" x14ac:dyDescent="0.2">
      <c r="B10" s="6">
        <v>9</v>
      </c>
      <c r="C10" s="7">
        <v>2052</v>
      </c>
      <c r="D10" s="8">
        <f t="shared" si="0"/>
        <v>2329.8333333333335</v>
      </c>
      <c r="E10" s="8">
        <f t="shared" si="1"/>
        <v>505.83333333333348</v>
      </c>
      <c r="F10" s="7">
        <f t="shared" si="2"/>
        <v>4153.8333333333339</v>
      </c>
      <c r="J10" s="12"/>
    </row>
    <row r="11" spans="2:11" x14ac:dyDescent="0.2">
      <c r="B11" s="6">
        <v>10</v>
      </c>
      <c r="C11" s="7">
        <v>2824</v>
      </c>
      <c r="D11" s="8">
        <f t="shared" si="0"/>
        <v>2329.8333333333335</v>
      </c>
      <c r="E11" s="8">
        <f t="shared" si="1"/>
        <v>505.83333333333348</v>
      </c>
      <c r="F11" s="7">
        <f t="shared" si="2"/>
        <v>4153.8333333333339</v>
      </c>
    </row>
    <row r="12" spans="2:11" x14ac:dyDescent="0.2">
      <c r="B12" s="6">
        <v>11</v>
      </c>
      <c r="C12" s="7">
        <v>1891</v>
      </c>
      <c r="D12" s="8">
        <f t="shared" si="0"/>
        <v>2329.8333333333335</v>
      </c>
      <c r="E12" s="8">
        <f t="shared" si="1"/>
        <v>505.83333333333348</v>
      </c>
      <c r="F12" s="7">
        <f t="shared" si="2"/>
        <v>4153.8333333333339</v>
      </c>
    </row>
    <row r="13" spans="2:11" x14ac:dyDescent="0.2">
      <c r="B13" s="6">
        <v>12</v>
      </c>
      <c r="C13" s="7">
        <v>2034</v>
      </c>
      <c r="D13" s="8">
        <f t="shared" si="0"/>
        <v>2329.8333333333335</v>
      </c>
      <c r="E13" s="8">
        <f t="shared" si="1"/>
        <v>505.83333333333348</v>
      </c>
      <c r="F13" s="7">
        <f t="shared" si="2"/>
        <v>4153.8333333333339</v>
      </c>
    </row>
    <row r="14" spans="2:11" x14ac:dyDescent="0.2">
      <c r="B14" s="6">
        <v>13</v>
      </c>
      <c r="C14" s="7">
        <v>1130</v>
      </c>
      <c r="D14" s="8">
        <f t="shared" si="0"/>
        <v>2329.8333333333335</v>
      </c>
      <c r="E14" s="8">
        <f t="shared" si="1"/>
        <v>505.83333333333348</v>
      </c>
      <c r="F14" s="7">
        <f t="shared" si="2"/>
        <v>4153.8333333333339</v>
      </c>
    </row>
    <row r="15" spans="2:11" x14ac:dyDescent="0.2">
      <c r="B15" s="6">
        <v>14</v>
      </c>
      <c r="C15" s="7">
        <v>1340</v>
      </c>
      <c r="D15" s="8">
        <f t="shared" si="0"/>
        <v>2329.8333333333335</v>
      </c>
      <c r="E15" s="8">
        <f t="shared" si="1"/>
        <v>505.83333333333348</v>
      </c>
      <c r="F15" s="7">
        <f t="shared" si="2"/>
        <v>4153.8333333333339</v>
      </c>
    </row>
    <row r="16" spans="2:11" x14ac:dyDescent="0.2">
      <c r="B16" s="6">
        <v>15</v>
      </c>
      <c r="C16" s="7">
        <v>2625</v>
      </c>
      <c r="D16" s="8">
        <f t="shared" si="0"/>
        <v>2329.8333333333335</v>
      </c>
      <c r="E16" s="8">
        <f t="shared" si="1"/>
        <v>505.83333333333348</v>
      </c>
      <c r="F16" s="7">
        <f t="shared" si="2"/>
        <v>4153.8333333333339</v>
      </c>
    </row>
    <row r="17" spans="2:6" x14ac:dyDescent="0.2">
      <c r="B17" s="6">
        <v>16</v>
      </c>
      <c r="C17" s="7">
        <v>1470</v>
      </c>
      <c r="D17" s="8">
        <f t="shared" si="0"/>
        <v>2329.8333333333335</v>
      </c>
      <c r="E17" s="8">
        <f t="shared" si="1"/>
        <v>505.83333333333348</v>
      </c>
      <c r="F17" s="7">
        <f t="shared" si="2"/>
        <v>4153.8333333333339</v>
      </c>
    </row>
    <row r="18" spans="2:6" x14ac:dyDescent="0.2">
      <c r="B18" s="6">
        <v>17</v>
      </c>
      <c r="C18" s="7">
        <v>2057</v>
      </c>
      <c r="D18" s="8">
        <f t="shared" si="0"/>
        <v>2329.8333333333335</v>
      </c>
      <c r="E18" s="8">
        <f t="shared" si="1"/>
        <v>505.83333333333348</v>
      </c>
      <c r="F18" s="7">
        <f t="shared" si="2"/>
        <v>4153.8333333333339</v>
      </c>
    </row>
    <row r="19" spans="2:6" x14ac:dyDescent="0.2">
      <c r="B19" s="6">
        <v>18</v>
      </c>
      <c r="C19" s="7">
        <v>1876</v>
      </c>
      <c r="D19" s="8">
        <f t="shared" si="0"/>
        <v>2329.8333333333335</v>
      </c>
      <c r="E19" s="8">
        <f t="shared" si="1"/>
        <v>505.83333333333348</v>
      </c>
      <c r="F19" s="7">
        <f t="shared" si="2"/>
        <v>4153.8333333333339</v>
      </c>
    </row>
    <row r="20" spans="2:6" x14ac:dyDescent="0.2">
      <c r="B20" s="6">
        <v>19</v>
      </c>
      <c r="C20" s="7">
        <v>2164</v>
      </c>
      <c r="D20" s="8">
        <f t="shared" si="0"/>
        <v>2329.8333333333335</v>
      </c>
      <c r="E20" s="8">
        <f t="shared" si="1"/>
        <v>505.83333333333348</v>
      </c>
      <c r="F20" s="7">
        <f t="shared" si="2"/>
        <v>4153.8333333333339</v>
      </c>
    </row>
    <row r="21" spans="2:6" x14ac:dyDescent="0.2">
      <c r="B21" s="6">
        <v>20</v>
      </c>
      <c r="C21" s="7">
        <v>2911</v>
      </c>
      <c r="D21" s="8">
        <f t="shared" si="0"/>
        <v>2329.8333333333335</v>
      </c>
      <c r="E21" s="8">
        <f t="shared" si="1"/>
        <v>505.83333333333348</v>
      </c>
      <c r="F21" s="7">
        <f t="shared" si="2"/>
        <v>4153.8333333333339</v>
      </c>
    </row>
    <row r="22" spans="2:6" x14ac:dyDescent="0.2">
      <c r="B22" s="6">
        <v>21</v>
      </c>
      <c r="C22" s="7">
        <v>1702</v>
      </c>
      <c r="D22" s="8">
        <f t="shared" si="0"/>
        <v>2329.8333333333335</v>
      </c>
      <c r="E22" s="8">
        <f t="shared" si="1"/>
        <v>505.83333333333348</v>
      </c>
      <c r="F22" s="7">
        <f t="shared" si="2"/>
        <v>4153.8333333333339</v>
      </c>
    </row>
    <row r="23" spans="2:6" x14ac:dyDescent="0.2">
      <c r="B23" s="6">
        <v>22</v>
      </c>
      <c r="C23" s="7">
        <v>1253</v>
      </c>
      <c r="D23" s="8">
        <f t="shared" si="0"/>
        <v>2329.8333333333335</v>
      </c>
      <c r="E23" s="8">
        <f t="shared" si="1"/>
        <v>505.83333333333348</v>
      </c>
      <c r="F23" s="7">
        <f t="shared" si="2"/>
        <v>4153.8333333333339</v>
      </c>
    </row>
    <row r="24" spans="2:6" x14ac:dyDescent="0.2">
      <c r="B24" s="6">
        <v>23</v>
      </c>
      <c r="C24" s="7">
        <v>2930</v>
      </c>
      <c r="D24" s="8">
        <f t="shared" si="0"/>
        <v>2329.8333333333335</v>
      </c>
      <c r="E24" s="8">
        <f t="shared" si="1"/>
        <v>505.83333333333348</v>
      </c>
      <c r="F24" s="7">
        <f t="shared" si="2"/>
        <v>4153.8333333333339</v>
      </c>
    </row>
    <row r="25" spans="2:6" x14ac:dyDescent="0.2">
      <c r="B25" s="6">
        <v>24</v>
      </c>
      <c r="C25" s="7">
        <v>2822</v>
      </c>
      <c r="D25" s="8">
        <f t="shared" si="0"/>
        <v>2329.8333333333335</v>
      </c>
      <c r="E25" s="8">
        <f t="shared" si="1"/>
        <v>505.83333333333348</v>
      </c>
      <c r="F25" s="7">
        <f t="shared" si="2"/>
        <v>4153.8333333333339</v>
      </c>
    </row>
    <row r="26" spans="2:6" x14ac:dyDescent="0.2">
      <c r="B26" s="6">
        <v>25</v>
      </c>
      <c r="C26" s="7">
        <v>2582</v>
      </c>
      <c r="D26" s="8">
        <f t="shared" si="0"/>
        <v>2329.8333333333335</v>
      </c>
      <c r="E26" s="8">
        <f t="shared" si="1"/>
        <v>505.83333333333348</v>
      </c>
      <c r="F26" s="7">
        <f t="shared" si="2"/>
        <v>4153.8333333333339</v>
      </c>
    </row>
    <row r="27" spans="2:6" x14ac:dyDescent="0.2">
      <c r="B27" s="6">
        <v>26</v>
      </c>
      <c r="C27" s="7">
        <v>1352</v>
      </c>
      <c r="D27" s="8">
        <f t="shared" si="0"/>
        <v>2329.8333333333335</v>
      </c>
      <c r="E27" s="8">
        <f t="shared" si="1"/>
        <v>505.83333333333348</v>
      </c>
      <c r="F27" s="7">
        <f t="shared" si="2"/>
        <v>4153.8333333333339</v>
      </c>
    </row>
    <row r="28" spans="2:6" x14ac:dyDescent="0.2">
      <c r="B28" s="6">
        <v>27</v>
      </c>
      <c r="C28" s="7">
        <v>1656</v>
      </c>
      <c r="D28" s="8">
        <f t="shared" si="0"/>
        <v>2329.8333333333335</v>
      </c>
      <c r="E28" s="8">
        <f t="shared" si="1"/>
        <v>505.83333333333348</v>
      </c>
      <c r="F28" s="7">
        <f t="shared" si="2"/>
        <v>4153.8333333333339</v>
      </c>
    </row>
    <row r="29" spans="2:6" x14ac:dyDescent="0.2">
      <c r="B29" s="6">
        <v>28</v>
      </c>
      <c r="C29" s="7">
        <v>1269</v>
      </c>
      <c r="D29" s="8">
        <f t="shared" si="0"/>
        <v>2329.8333333333335</v>
      </c>
      <c r="E29" s="8">
        <f t="shared" si="1"/>
        <v>505.83333333333348</v>
      </c>
      <c r="F29" s="7">
        <f t="shared" si="2"/>
        <v>4153.8333333333339</v>
      </c>
    </row>
    <row r="30" spans="2:6" x14ac:dyDescent="0.2">
      <c r="B30" s="6">
        <v>29</v>
      </c>
      <c r="C30" s="7">
        <v>1195</v>
      </c>
      <c r="D30" s="8">
        <f t="shared" si="0"/>
        <v>2329.8333333333335</v>
      </c>
      <c r="E30" s="8">
        <f t="shared" si="1"/>
        <v>505.83333333333348</v>
      </c>
      <c r="F30" s="7">
        <f t="shared" si="2"/>
        <v>4153.8333333333339</v>
      </c>
    </row>
    <row r="31" spans="2:6" x14ac:dyDescent="0.2">
      <c r="B31" s="13">
        <v>30</v>
      </c>
      <c r="C31" s="14">
        <v>2712</v>
      </c>
      <c r="D31" s="11">
        <f t="shared" si="0"/>
        <v>2329.8333333333335</v>
      </c>
      <c r="E31" s="11">
        <f t="shared" si="1"/>
        <v>505.83333333333348</v>
      </c>
      <c r="F31" s="14">
        <f t="shared" si="2"/>
        <v>4153.8333333333339</v>
      </c>
    </row>
    <row r="33" spans="2:2" x14ac:dyDescent="0.2">
      <c r="B33" s="5" t="s">
        <v>14</v>
      </c>
    </row>
    <row r="34" spans="2:2" x14ac:dyDescent="0.2">
      <c r="B34" s="5" t="s">
        <v>15</v>
      </c>
    </row>
    <row r="35" spans="2:2" x14ac:dyDescent="0.2">
      <c r="B35" s="5" t="s">
        <v>16</v>
      </c>
    </row>
    <row r="36" spans="2:2" x14ac:dyDescent="0.2">
      <c r="B36" s="5" t="s">
        <v>17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Bartolome</dc:creator>
  <cp:lastModifiedBy>Adrian Bartolome</cp:lastModifiedBy>
  <dcterms:created xsi:type="dcterms:W3CDTF">2026-05-07T22:22:42Z</dcterms:created>
  <dcterms:modified xsi:type="dcterms:W3CDTF">2026-05-11T16:42:49Z</dcterms:modified>
</cp:coreProperties>
</file>