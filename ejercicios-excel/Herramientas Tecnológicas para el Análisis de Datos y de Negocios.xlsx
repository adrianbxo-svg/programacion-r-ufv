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slicers/slicer1.xml" ContentType="application/vnd.ms-excel.slicer+xml"/>
  <Override PartName="/xl/slicers/slicer2.xml" ContentType="application/vnd.ms-excel.slicer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slicers/slicer3.xml" ContentType="application/vnd.ms-excel.slicer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5CA1B616-1AF9-2649-9656-614EF0189207}" xr6:coauthVersionLast="47" xr6:coauthVersionMax="47" xr10:uidLastSave="{00000000-0000-0000-0000-000000000000}"/>
  <bookViews>
    <workbookView xWindow="0" yWindow="680" windowWidth="24560" windowHeight="21460" activeTab="2" xr2:uid="{28EDCC86-2324-4142-B97A-26DF081A4E79}"/>
  </bookViews>
  <sheets>
    <sheet name="Tabla de Multiplicación" sheetId="1" r:id="rId1"/>
    <sheet name="Outliers" sheetId="2" r:id="rId2"/>
    <sheet name="Outliers Z - Score" sheetId="3" r:id="rId3"/>
    <sheet name="CONTAR.SI ASTERISCO " sheetId="4" r:id="rId4"/>
    <sheet name="Validación de Datos" sheetId="7" r:id="rId5"/>
    <sheet name="BLANCOS" sheetId="5" r:id="rId6"/>
    <sheet name="ENCONTRAR ERRORES" sheetId="6" r:id="rId7"/>
    <sheet name="SI" sheetId="9" r:id="rId8"/>
    <sheet name="Y" sheetId="10" r:id="rId9"/>
    <sheet name="Anillos" sheetId="13" r:id="rId10"/>
    <sheet name="Encuestas" sheetId="12" r:id="rId11"/>
    <sheet name="BUSCAR V H" sheetId="14" r:id="rId12"/>
    <sheet name="Tabla de ventas" sheetId="15" r:id="rId13"/>
    <sheet name="Tablero" sheetId="24" r:id="rId14"/>
    <sheet name="Duplicados de tablas" sheetId="18" r:id="rId15"/>
    <sheet name="CONTAR.SI.CONJUNTO Y CONCATENAR" sheetId="25" r:id="rId16"/>
    <sheet name="DATA MODELS" sheetId="26" r:id="rId17"/>
  </sheets>
  <definedNames>
    <definedName name="_xlchart.v1.0" hidden="1">Outliers!$C$2:$C$31</definedName>
    <definedName name="SegmentaciónDeDatos_Cantidad_vendida">#N/A</definedName>
    <definedName name="SegmentaciónDeDatos_Categoria_del_producto">#N/A</definedName>
    <definedName name="SegmentaciónDeDatos_Metodo_de_pago">#N/A</definedName>
    <definedName name="SegmentaciónDeDatos_Metodo_de_pago2">#N/A</definedName>
    <definedName name="SegmentaciónDeDatos_Region_o_ubicación">#N/A</definedName>
    <definedName name="SegmentaciónDeDatos_Region_o_ubicación1">#N/A</definedName>
    <definedName name="SegmentaciónDeDatos_Total_de_venta">#N/A</definedName>
  </definedNames>
  <calcPr calcId="191029"/>
  <pivotCaches>
    <pivotCache cacheId="0" r:id="rId18"/>
    <pivotCache cacheId="1" r:id="rId19"/>
    <pivotCache cacheId="2" r:id="rId20"/>
  </pivotCaches>
  <extLs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5"/>
        <x14:slicerCache r:id="rId26"/>
        <x14:slicerCache r:id="rId2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5" l="1"/>
  <c r="A16" i="25"/>
  <c r="G6" i="25"/>
  <c r="G9" i="25"/>
  <c r="G8" i="25"/>
  <c r="G2" i="25"/>
  <c r="G4" i="25"/>
  <c r="G3" i="25"/>
  <c r="D3" i="10"/>
  <c r="E3" i="10" s="1"/>
  <c r="H13" i="14"/>
  <c r="F7" i="14"/>
  <c r="C7" i="12"/>
  <c r="B7" i="12"/>
  <c r="E4" i="13"/>
  <c r="D3" i="13"/>
  <c r="E3" i="13" s="1"/>
  <c r="D4" i="13"/>
  <c r="D2" i="13"/>
  <c r="E2" i="13" s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5" i="9"/>
  <c r="F7" i="7"/>
  <c r="H7" i="7" s="1"/>
  <c r="I2" i="7"/>
  <c r="H4" i="7"/>
  <c r="G4" i="7"/>
  <c r="H3" i="7"/>
  <c r="G3" i="7"/>
  <c r="H2" i="7"/>
  <c r="G2" i="7"/>
  <c r="C3" i="6" a="1"/>
  <c r="C3" i="6" s="1"/>
  <c r="D5" i="6"/>
  <c r="E4" i="6"/>
  <c r="E2" i="6"/>
  <c r="B5" i="6"/>
  <c r="H4" i="4"/>
  <c r="H3" i="4"/>
  <c r="H2" i="4"/>
  <c r="G4" i="4"/>
  <c r="G3" i="4"/>
  <c r="G2" i="4"/>
  <c r="I4" i="3"/>
  <c r="F2" i="3"/>
  <c r="G2" i="3" s="1"/>
  <c r="E3" i="3"/>
  <c r="F3" i="3" s="1"/>
  <c r="G3" i="3" s="1"/>
  <c r="E4" i="3"/>
  <c r="F4" i="3" s="1"/>
  <c r="G4" i="3" s="1"/>
  <c r="E5" i="3"/>
  <c r="F5" i="3" s="1"/>
  <c r="G5" i="3" s="1"/>
  <c r="E6" i="3"/>
  <c r="F6" i="3" s="1"/>
  <c r="G6" i="3" s="1"/>
  <c r="E7" i="3"/>
  <c r="F7" i="3" s="1"/>
  <c r="G7" i="3" s="1"/>
  <c r="E8" i="3"/>
  <c r="F8" i="3" s="1"/>
  <c r="G8" i="3" s="1"/>
  <c r="E9" i="3"/>
  <c r="F9" i="3" s="1"/>
  <c r="G9" i="3" s="1"/>
  <c r="E10" i="3"/>
  <c r="F10" i="3" s="1"/>
  <c r="G10" i="3" s="1"/>
  <c r="E11" i="3"/>
  <c r="F11" i="3" s="1"/>
  <c r="G11" i="3" s="1"/>
  <c r="E12" i="3"/>
  <c r="F12" i="3" s="1"/>
  <c r="G12" i="3" s="1"/>
  <c r="E13" i="3"/>
  <c r="F13" i="3" s="1"/>
  <c r="G13" i="3" s="1"/>
  <c r="E14" i="3"/>
  <c r="F14" i="3" s="1"/>
  <c r="G14" i="3" s="1"/>
  <c r="E15" i="3"/>
  <c r="F15" i="3" s="1"/>
  <c r="G15" i="3" s="1"/>
  <c r="E16" i="3"/>
  <c r="F16" i="3" s="1"/>
  <c r="G16" i="3" s="1"/>
  <c r="E17" i="3"/>
  <c r="F17" i="3" s="1"/>
  <c r="G17" i="3" s="1"/>
  <c r="E18" i="3"/>
  <c r="F18" i="3" s="1"/>
  <c r="G18" i="3" s="1"/>
  <c r="E19" i="3"/>
  <c r="F19" i="3" s="1"/>
  <c r="G19" i="3" s="1"/>
  <c r="E20" i="3"/>
  <c r="F20" i="3" s="1"/>
  <c r="G20" i="3" s="1"/>
  <c r="E21" i="3"/>
  <c r="F21" i="3" s="1"/>
  <c r="G21" i="3" s="1"/>
  <c r="E22" i="3"/>
  <c r="F22" i="3" s="1"/>
  <c r="G22" i="3" s="1"/>
  <c r="E23" i="3"/>
  <c r="F23" i="3" s="1"/>
  <c r="G23" i="3" s="1"/>
  <c r="E24" i="3"/>
  <c r="F24" i="3" s="1"/>
  <c r="G24" i="3" s="1"/>
  <c r="E25" i="3"/>
  <c r="F25" i="3" s="1"/>
  <c r="G25" i="3" s="1"/>
  <c r="E26" i="3"/>
  <c r="F26" i="3" s="1"/>
  <c r="G26" i="3" s="1"/>
  <c r="E27" i="3"/>
  <c r="F27" i="3" s="1"/>
  <c r="G27" i="3" s="1"/>
  <c r="E28" i="3"/>
  <c r="F28" i="3" s="1"/>
  <c r="G28" i="3" s="1"/>
  <c r="E29" i="3"/>
  <c r="F29" i="3" s="1"/>
  <c r="G29" i="3" s="1"/>
  <c r="E30" i="3"/>
  <c r="F30" i="3" s="1"/>
  <c r="G30" i="3" s="1"/>
  <c r="E31" i="3"/>
  <c r="F31" i="3" s="1"/>
  <c r="G31" i="3" s="1"/>
  <c r="E2" i="3"/>
  <c r="J6" i="2"/>
  <c r="J5" i="2"/>
  <c r="J4" i="2"/>
  <c r="D7" i="2" s="1"/>
  <c r="AJ30" i="1"/>
  <c r="AK30" i="1"/>
  <c r="AM30" i="1"/>
  <c r="AJ31" i="1"/>
  <c r="AK31" i="1"/>
  <c r="AL31" i="1"/>
  <c r="AQ31" i="1"/>
  <c r="AJ32" i="1"/>
  <c r="AK32" i="1"/>
  <c r="AJ33" i="1"/>
  <c r="AK33" i="1"/>
  <c r="AL33" i="1"/>
  <c r="AO33" i="1"/>
  <c r="AQ33" i="1"/>
  <c r="AJ34" i="1"/>
  <c r="AK34" i="1"/>
  <c r="AQ34" i="1"/>
  <c r="AJ35" i="1"/>
  <c r="AK35" i="1"/>
  <c r="AM35" i="1"/>
  <c r="AO35" i="1"/>
  <c r="AJ36" i="1"/>
  <c r="AK36" i="1"/>
  <c r="AL36" i="1"/>
  <c r="AO36" i="1"/>
  <c r="AQ36" i="1"/>
  <c r="AJ37" i="1"/>
  <c r="AK37" i="1"/>
  <c r="AM37" i="1"/>
  <c r="AN37" i="1"/>
  <c r="AK29" i="1"/>
  <c r="AM29" i="1"/>
  <c r="AN29" i="1"/>
  <c r="AJ29" i="1"/>
  <c r="Y30" i="1"/>
  <c r="Z30" i="1"/>
  <c r="AA30" i="1"/>
  <c r="AF30" i="1"/>
  <c r="Y31" i="1"/>
  <c r="Z31" i="1"/>
  <c r="AB31" i="1"/>
  <c r="Y32" i="1"/>
  <c r="Z32" i="1"/>
  <c r="AA32" i="1"/>
  <c r="AD32" i="1"/>
  <c r="AF32" i="1"/>
  <c r="Y33" i="1"/>
  <c r="Z33" i="1"/>
  <c r="AA33" i="1"/>
  <c r="AF33" i="1"/>
  <c r="Y34" i="1"/>
  <c r="Z34" i="1"/>
  <c r="AB34" i="1"/>
  <c r="AD34" i="1"/>
  <c r="Y35" i="1"/>
  <c r="Z35" i="1"/>
  <c r="AA35" i="1"/>
  <c r="AD35" i="1"/>
  <c r="AF35" i="1"/>
  <c r="Y36" i="1"/>
  <c r="Z36" i="1"/>
  <c r="AB36" i="1"/>
  <c r="AC36" i="1"/>
  <c r="AF36" i="1"/>
  <c r="Y37" i="1"/>
  <c r="Z37" i="1"/>
  <c r="AA37" i="1"/>
  <c r="AB37" i="1"/>
  <c r="AD37" i="1"/>
  <c r="Z29" i="1"/>
  <c r="AA29" i="1"/>
  <c r="AB29" i="1"/>
  <c r="AD29" i="1"/>
  <c r="Y29" i="1"/>
  <c r="N30" i="1"/>
  <c r="P30" i="1" s="1"/>
  <c r="R30" i="1" s="1"/>
  <c r="T30" i="1" s="1"/>
  <c r="V30" i="1" s="1"/>
  <c r="O30" i="1"/>
  <c r="Q30" i="1" s="1"/>
  <c r="S30" i="1" s="1"/>
  <c r="U30" i="1" s="1"/>
  <c r="N31" i="1"/>
  <c r="P31" i="1" s="1"/>
  <c r="R31" i="1" s="1"/>
  <c r="T31" i="1" s="1"/>
  <c r="V31" i="1" s="1"/>
  <c r="O31" i="1"/>
  <c r="Q31" i="1" s="1"/>
  <c r="S31" i="1" s="1"/>
  <c r="U31" i="1" s="1"/>
  <c r="N32" i="1"/>
  <c r="O32" i="1"/>
  <c r="Q32" i="1" s="1"/>
  <c r="S32" i="1" s="1"/>
  <c r="U32" i="1" s="1"/>
  <c r="P32" i="1"/>
  <c r="R32" i="1" s="1"/>
  <c r="T32" i="1" s="1"/>
  <c r="V32" i="1" s="1"/>
  <c r="N33" i="1"/>
  <c r="O33" i="1"/>
  <c r="Q33" i="1" s="1"/>
  <c r="S33" i="1" s="1"/>
  <c r="U33" i="1" s="1"/>
  <c r="P33" i="1"/>
  <c r="R33" i="1"/>
  <c r="T33" i="1" s="1"/>
  <c r="V33" i="1" s="1"/>
  <c r="N34" i="1"/>
  <c r="O34" i="1"/>
  <c r="Q34" i="1" s="1"/>
  <c r="S34" i="1" s="1"/>
  <c r="U34" i="1" s="1"/>
  <c r="P34" i="1"/>
  <c r="R34" i="1" s="1"/>
  <c r="T34" i="1" s="1"/>
  <c r="V34" i="1" s="1"/>
  <c r="N35" i="1"/>
  <c r="P35" i="1" s="1"/>
  <c r="R35" i="1" s="1"/>
  <c r="T35" i="1" s="1"/>
  <c r="V35" i="1" s="1"/>
  <c r="O35" i="1"/>
  <c r="Q35" i="1" s="1"/>
  <c r="S35" i="1" s="1"/>
  <c r="U35" i="1" s="1"/>
  <c r="N36" i="1"/>
  <c r="P36" i="1" s="1"/>
  <c r="R36" i="1" s="1"/>
  <c r="T36" i="1" s="1"/>
  <c r="V36" i="1" s="1"/>
  <c r="O36" i="1"/>
  <c r="Q36" i="1" s="1"/>
  <c r="S36" i="1" s="1"/>
  <c r="U36" i="1" s="1"/>
  <c r="N37" i="1"/>
  <c r="P37" i="1" s="1"/>
  <c r="R37" i="1" s="1"/>
  <c r="T37" i="1" s="1"/>
  <c r="V37" i="1" s="1"/>
  <c r="O37" i="1"/>
  <c r="Q37" i="1" s="1"/>
  <c r="S37" i="1" s="1"/>
  <c r="U37" i="1" s="1"/>
  <c r="O29" i="1"/>
  <c r="Q29" i="1" s="1"/>
  <c r="S29" i="1" s="1"/>
  <c r="U29" i="1" s="1"/>
  <c r="P29" i="1"/>
  <c r="AN35" i="1" s="1"/>
  <c r="N29" i="1"/>
  <c r="AL37" i="1" s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J30" i="1"/>
  <c r="J31" i="1"/>
  <c r="J32" i="1"/>
  <c r="J33" i="1"/>
  <c r="J34" i="1"/>
  <c r="J35" i="1"/>
  <c r="J36" i="1"/>
  <c r="J37" i="1"/>
  <c r="J29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I15" i="1"/>
  <c r="J15" i="1"/>
  <c r="C15" i="1"/>
  <c r="D15" i="1"/>
  <c r="E15" i="1"/>
  <c r="F15" i="1"/>
  <c r="G15" i="1"/>
  <c r="H15" i="1"/>
  <c r="B15" i="1"/>
  <c r="H10" i="1"/>
  <c r="I10" i="1"/>
  <c r="J10" i="1"/>
  <c r="H9" i="1"/>
  <c r="I9" i="1"/>
  <c r="J9" i="1"/>
  <c r="G9" i="1"/>
  <c r="G10" i="1"/>
  <c r="G8" i="1"/>
  <c r="H8" i="1"/>
  <c r="I8" i="1"/>
  <c r="J8" i="1"/>
  <c r="F8" i="1"/>
  <c r="F9" i="1"/>
  <c r="F10" i="1"/>
  <c r="F7" i="1"/>
  <c r="G7" i="1"/>
  <c r="H7" i="1"/>
  <c r="I7" i="1"/>
  <c r="J7" i="1"/>
  <c r="B2" i="1"/>
  <c r="E7" i="1"/>
  <c r="E8" i="1"/>
  <c r="E9" i="1"/>
  <c r="E10" i="1"/>
  <c r="E6" i="1"/>
  <c r="F6" i="1"/>
  <c r="G6" i="1"/>
  <c r="H6" i="1"/>
  <c r="I6" i="1"/>
  <c r="J6" i="1"/>
  <c r="D6" i="1"/>
  <c r="D7" i="1"/>
  <c r="D8" i="1"/>
  <c r="D9" i="1"/>
  <c r="D10" i="1"/>
  <c r="D5" i="1"/>
  <c r="E5" i="1"/>
  <c r="F5" i="1"/>
  <c r="G5" i="1"/>
  <c r="H5" i="1"/>
  <c r="I5" i="1"/>
  <c r="J5" i="1"/>
  <c r="D4" i="1"/>
  <c r="E4" i="1"/>
  <c r="F4" i="1"/>
  <c r="G4" i="1"/>
  <c r="H4" i="1"/>
  <c r="I4" i="1"/>
  <c r="J4" i="1"/>
  <c r="C4" i="1"/>
  <c r="C5" i="1"/>
  <c r="C6" i="1"/>
  <c r="C7" i="1"/>
  <c r="C8" i="1"/>
  <c r="C9" i="1"/>
  <c r="C10" i="1"/>
  <c r="C3" i="1"/>
  <c r="D3" i="1"/>
  <c r="E3" i="1"/>
  <c r="F3" i="1"/>
  <c r="G3" i="1"/>
  <c r="H3" i="1"/>
  <c r="I3" i="1"/>
  <c r="J3" i="1"/>
  <c r="B3" i="1"/>
  <c r="B4" i="1"/>
  <c r="B5" i="1"/>
  <c r="B6" i="1"/>
  <c r="B7" i="1"/>
  <c r="B8" i="1"/>
  <c r="B9" i="1"/>
  <c r="B10" i="1"/>
  <c r="C2" i="1"/>
  <c r="D2" i="1"/>
  <c r="E2" i="1"/>
  <c r="F2" i="1"/>
  <c r="G2" i="1"/>
  <c r="H2" i="1"/>
  <c r="I2" i="1"/>
  <c r="J2" i="1"/>
  <c r="C5" i="6" l="1"/>
  <c r="E5" i="6" s="1"/>
  <c r="E3" i="6"/>
  <c r="J7" i="2"/>
  <c r="D30" i="2"/>
  <c r="D6" i="2"/>
  <c r="D29" i="2"/>
  <c r="D21" i="2"/>
  <c r="D13" i="2"/>
  <c r="D5" i="2"/>
  <c r="D14" i="2"/>
  <c r="D28" i="2"/>
  <c r="D12" i="2"/>
  <c r="D27" i="2"/>
  <c r="D19" i="2"/>
  <c r="D11" i="2"/>
  <c r="D3" i="2"/>
  <c r="D20" i="2"/>
  <c r="D4" i="2"/>
  <c r="J8" i="2"/>
  <c r="D26" i="2"/>
  <c r="D18" i="2"/>
  <c r="D10" i="2"/>
  <c r="D22" i="2"/>
  <c r="J9" i="2"/>
  <c r="D25" i="2"/>
  <c r="D17" i="2"/>
  <c r="D9" i="2"/>
  <c r="D2" i="2"/>
  <c r="D24" i="2"/>
  <c r="D16" i="2"/>
  <c r="D8" i="2"/>
  <c r="D31" i="2"/>
  <c r="D23" i="2"/>
  <c r="D15" i="2"/>
  <c r="AN34" i="1"/>
  <c r="AF29" i="1"/>
  <c r="AF37" i="1"/>
  <c r="AA34" i="1"/>
  <c r="AB33" i="1"/>
  <c r="AC32" i="1"/>
  <c r="AD31" i="1"/>
  <c r="AL35" i="1"/>
  <c r="AM34" i="1"/>
  <c r="AN33" i="1"/>
  <c r="AO32" i="1"/>
  <c r="AQ30" i="1"/>
  <c r="AC33" i="1"/>
  <c r="AB32" i="1"/>
  <c r="AC31" i="1"/>
  <c r="AD30" i="1"/>
  <c r="AQ29" i="1"/>
  <c r="AQ37" i="1"/>
  <c r="AL34" i="1"/>
  <c r="AM33" i="1"/>
  <c r="AN32" i="1"/>
  <c r="AO31" i="1"/>
  <c r="AM32" i="1"/>
  <c r="AN31" i="1"/>
  <c r="AO30" i="1"/>
  <c r="AC30" i="1"/>
  <c r="AC29" i="1"/>
  <c r="AC37" i="1"/>
  <c r="AD36" i="1"/>
  <c r="AF34" i="1"/>
  <c r="AA31" i="1"/>
  <c r="AB30" i="1"/>
  <c r="AO29" i="1"/>
  <c r="AO37" i="1"/>
  <c r="AQ35" i="1"/>
  <c r="AL32" i="1"/>
  <c r="AM31" i="1"/>
  <c r="AN30" i="1"/>
  <c r="AL30" i="1"/>
  <c r="AC35" i="1"/>
  <c r="AN36" i="1"/>
  <c r="R29" i="1"/>
  <c r="AA36" i="1"/>
  <c r="AB35" i="1"/>
  <c r="AC34" i="1"/>
  <c r="AD33" i="1"/>
  <c r="AF31" i="1"/>
  <c r="AL29" i="1"/>
  <c r="AM36" i="1"/>
  <c r="AO34" i="1"/>
  <c r="AQ32" i="1"/>
  <c r="E5" i="2" l="1"/>
  <c r="E13" i="2"/>
  <c r="E21" i="2"/>
  <c r="E29" i="2"/>
  <c r="E6" i="2"/>
  <c r="E14" i="2"/>
  <c r="E22" i="2"/>
  <c r="E30" i="2"/>
  <c r="E7" i="2"/>
  <c r="E15" i="2"/>
  <c r="E23" i="2"/>
  <c r="E31" i="2"/>
  <c r="E28" i="2"/>
  <c r="E8" i="2"/>
  <c r="E16" i="2"/>
  <c r="E24" i="2"/>
  <c r="E2" i="2"/>
  <c r="E18" i="2"/>
  <c r="E9" i="2"/>
  <c r="E17" i="2"/>
  <c r="E25" i="2"/>
  <c r="E10" i="2"/>
  <c r="E26" i="2"/>
  <c r="E20" i="2"/>
  <c r="E3" i="2"/>
  <c r="E11" i="2"/>
  <c r="E19" i="2"/>
  <c r="E27" i="2"/>
  <c r="E4" i="2"/>
  <c r="E12" i="2"/>
  <c r="F3" i="2"/>
  <c r="F11" i="2"/>
  <c r="F19" i="2"/>
  <c r="F27" i="2"/>
  <c r="F4" i="2"/>
  <c r="F12" i="2"/>
  <c r="F20" i="2"/>
  <c r="F28" i="2"/>
  <c r="F13" i="2"/>
  <c r="F21" i="2"/>
  <c r="F29" i="2"/>
  <c r="F26" i="2"/>
  <c r="F5" i="2"/>
  <c r="F6" i="2"/>
  <c r="F14" i="2"/>
  <c r="F22" i="2"/>
  <c r="F30" i="2"/>
  <c r="F24" i="2"/>
  <c r="F2" i="2"/>
  <c r="F7" i="2"/>
  <c r="F15" i="2"/>
  <c r="F23" i="2"/>
  <c r="F31" i="2"/>
  <c r="F16" i="2"/>
  <c r="F18" i="2"/>
  <c r="F8" i="2"/>
  <c r="F9" i="2"/>
  <c r="F17" i="2"/>
  <c r="F25" i="2"/>
  <c r="F10" i="2"/>
  <c r="AP33" i="1"/>
  <c r="AE32" i="1"/>
  <c r="AP34" i="1"/>
  <c r="AE33" i="1"/>
  <c r="AP35" i="1"/>
  <c r="T29" i="1"/>
  <c r="AP36" i="1"/>
  <c r="AE35" i="1"/>
  <c r="AP37" i="1"/>
  <c r="AP29" i="1"/>
  <c r="AE36" i="1"/>
  <c r="AE34" i="1"/>
  <c r="AP30" i="1"/>
  <c r="AE37" i="1"/>
  <c r="AE29" i="1"/>
  <c r="AE31" i="1"/>
  <c r="AP31" i="1"/>
  <c r="AE30" i="1"/>
  <c r="AP32" i="1"/>
  <c r="AR31" i="1" l="1"/>
  <c r="AG30" i="1"/>
  <c r="AR32" i="1"/>
  <c r="AG31" i="1"/>
  <c r="V29" i="1"/>
  <c r="AR34" i="1"/>
  <c r="AG33" i="1"/>
  <c r="AR35" i="1"/>
  <c r="AG34" i="1"/>
  <c r="AR33" i="1"/>
  <c r="AG32" i="1"/>
  <c r="AR36" i="1"/>
  <c r="AG35" i="1"/>
  <c r="AG37" i="1"/>
  <c r="AR37" i="1"/>
  <c r="AR29" i="1"/>
  <c r="AG36" i="1"/>
  <c r="AR30" i="1"/>
  <c r="AG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<sst xmlns="http://schemas.openxmlformats.org/spreadsheetml/2006/main" count="829" uniqueCount="469">
  <si>
    <t>FACTOR</t>
  </si>
  <si>
    <t xml:space="preserve">FACTOR  </t>
  </si>
  <si>
    <t>Formula: =$A(Numero)*B$(Numero)*$L$(Numero)</t>
  </si>
  <si>
    <t>Formula: =$A(Numero)*B$(Numero)</t>
  </si>
  <si>
    <t xml:space="preserve">ID VENDEDOR </t>
  </si>
  <si>
    <t xml:space="preserve">TOTAL </t>
  </si>
  <si>
    <t>Formula: ALEATORIO.ENTRE(numero; numero)</t>
  </si>
  <si>
    <t xml:space="preserve">PROMEDIO </t>
  </si>
  <si>
    <t>Linf</t>
  </si>
  <si>
    <t>Lsup</t>
  </si>
  <si>
    <t>Pegado especial: Valores</t>
  </si>
  <si>
    <t>VALOR</t>
  </si>
  <si>
    <t xml:space="preserve">MEDIA </t>
  </si>
  <si>
    <t>Q1</t>
  </si>
  <si>
    <t>Q3</t>
  </si>
  <si>
    <t>IQR=Q3-Q1</t>
  </si>
  <si>
    <t>Promedio</t>
  </si>
  <si>
    <t>Cuartil Exc (Seleccionar , numero de cuartil)</t>
  </si>
  <si>
    <t>Media + 1.5 * IQR</t>
  </si>
  <si>
    <t>Media - 1.5 * IQR</t>
  </si>
  <si>
    <t xml:space="preserve">$Valor$Numero - arrastrar </t>
  </si>
  <si>
    <t>Si el dato es mayor a Limite Inferior o Superior es un dato atípico</t>
  </si>
  <si>
    <t>Desviación</t>
  </si>
  <si>
    <t>Zcore</t>
  </si>
  <si>
    <t>Columna 1</t>
  </si>
  <si>
    <t>MEDIA</t>
  </si>
  <si>
    <t>DESVIACIÓN</t>
  </si>
  <si>
    <t>Desviacion - Desvest</t>
  </si>
  <si>
    <t>COEF. Variación (%) . Desv. Estandar / promedio * 100</t>
  </si>
  <si>
    <t xml:space="preserve">Zcore. (dato - promedio) / desv. Estandar </t>
  </si>
  <si>
    <t>abs (Valor absoluto) Zcore &gt; 3 o &gt;-3 ATÍPICO</t>
  </si>
  <si>
    <t>Si (ABS (ZCORE) &gt; 3; "Atipico" ; " "</t>
  </si>
  <si>
    <t>Columna1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</si>
  <si>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</si>
  <si>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</si>
  <si>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</si>
  <si>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</si>
  <si>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</si>
  <si>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</si>
  <si>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</si>
  <si>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</si>
  <si>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</si>
  <si>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Descrpición</t>
  </si>
  <si>
    <t xml:space="preserve">Criterios </t>
  </si>
  <si>
    <t xml:space="preserve">Concepto </t>
  </si>
  <si>
    <t xml:space="preserve">Valor </t>
  </si>
  <si>
    <t xml:space="preserve">Encontrados </t>
  </si>
  <si>
    <t>Coca Cola 1L</t>
  </si>
  <si>
    <t>Fanta 2L</t>
  </si>
  <si>
    <t>Lata pepsi</t>
  </si>
  <si>
    <t>Aceite 1L</t>
  </si>
  <si>
    <t>Whisky 1L</t>
  </si>
  <si>
    <t>Ron 0,75L</t>
  </si>
  <si>
    <t>Aquarious 1L</t>
  </si>
  <si>
    <t>Agua 1L</t>
  </si>
  <si>
    <t>Detergente 2L</t>
  </si>
  <si>
    <t>Termina en 1L</t>
  </si>
  <si>
    <t>Empieza por Fan</t>
  </si>
  <si>
    <t xml:space="preserve">Contiene hisky </t>
  </si>
  <si>
    <t>*1L</t>
  </si>
  <si>
    <t>FAN*</t>
  </si>
  <si>
    <t>hisky</t>
  </si>
  <si>
    <t>*hisky*</t>
  </si>
  <si>
    <t>* - % en SQL</t>
  </si>
  <si>
    <t>FAN</t>
  </si>
  <si>
    <t>CONTAR.SI(VALORES;"*/ Valor /*")</t>
  </si>
  <si>
    <t>ID</t>
  </si>
  <si>
    <t>1L</t>
  </si>
  <si>
    <t>"*"&amp; Valor- Despues</t>
  </si>
  <si>
    <t>Valor &amp; "*" - Antes</t>
  </si>
  <si>
    <t>"*"&amp; Valor &amp; "*" - contenga la palabra</t>
  </si>
  <si>
    <t>Buscar y Seleecionar</t>
  </si>
  <si>
    <t>Ir a especial</t>
  </si>
  <si>
    <t>en blancos</t>
  </si>
  <si>
    <t xml:space="preserve">Junio </t>
  </si>
  <si>
    <t xml:space="preserve">Julio </t>
  </si>
  <si>
    <t>Agosto</t>
  </si>
  <si>
    <t xml:space="preserve">Luis </t>
  </si>
  <si>
    <t xml:space="preserve">Daniel </t>
  </si>
  <si>
    <t>Blanca</t>
  </si>
  <si>
    <t xml:space="preserve">Total </t>
  </si>
  <si>
    <t>Formulas</t>
  </si>
  <si>
    <t>Seleccionar Errores</t>
  </si>
  <si>
    <t xml:space="preserve">Formulas </t>
  </si>
  <si>
    <t>^Rastrear</t>
  </si>
  <si>
    <t xml:space="preserve">El &amp; hace que puedas buscar el valor de la celda que selecciones y no de la palabra </t>
  </si>
  <si>
    <t xml:space="preserve">Validación de Datos </t>
  </si>
  <si>
    <t xml:space="preserve">Selección </t>
  </si>
  <si>
    <t>CONTAR.SI('CONTAR.SI ASTERISCO '!B2:B10;"*1L")</t>
  </si>
  <si>
    <t>Validacion de Datos, Lista, Valores</t>
  </si>
  <si>
    <t>Descripción</t>
  </si>
  <si>
    <t xml:space="preserve">Quitar duplicados. </t>
  </si>
  <si>
    <t>REGLAS</t>
  </si>
  <si>
    <t xml:space="preserve">VALOR </t>
  </si>
  <si>
    <t xml:space="preserve">APROBADO </t>
  </si>
  <si>
    <t xml:space="preserve">SUSPENSO </t>
  </si>
  <si>
    <t xml:space="preserve">Nombre </t>
  </si>
  <si>
    <t xml:space="preserve">Nota </t>
  </si>
  <si>
    <t>FÓRMULA</t>
  </si>
  <si>
    <t xml:space="preserve">NOTA APROBADO </t>
  </si>
  <si>
    <t>Id Persona</t>
  </si>
  <si>
    <t xml:space="preserve">Nota 1 </t>
  </si>
  <si>
    <t>Nota 2</t>
  </si>
  <si>
    <t>¿He Aprobado Todas? FÓRMULA Y</t>
  </si>
  <si>
    <t>FÓRMULA SI</t>
  </si>
  <si>
    <t>SI(B8&gt;=$B$2;$A$2;$A$3)</t>
  </si>
  <si>
    <t xml:space="preserve">SI+ Y </t>
  </si>
  <si>
    <t xml:space="preserve">Vendedor </t>
  </si>
  <si>
    <t xml:space="preserve">Ventas </t>
  </si>
  <si>
    <t>Objetivo</t>
  </si>
  <si>
    <t xml:space="preserve">%Cumplido </t>
  </si>
  <si>
    <t>%Pendiente</t>
  </si>
  <si>
    <t xml:space="preserve">Pablo </t>
  </si>
  <si>
    <t>Nicolas</t>
  </si>
  <si>
    <t>Partido</t>
  </si>
  <si>
    <t>PP</t>
  </si>
  <si>
    <t>PSOE</t>
  </si>
  <si>
    <t>VOX</t>
  </si>
  <si>
    <t xml:space="preserve">SUMAR </t>
  </si>
  <si>
    <t>RESTO</t>
  </si>
  <si>
    <t>Código empleado</t>
  </si>
  <si>
    <t>Nombre</t>
  </si>
  <si>
    <t xml:space="preserve">Edad </t>
  </si>
  <si>
    <t>Pedro Martín</t>
  </si>
  <si>
    <t>Lucas Pérez</t>
  </si>
  <si>
    <t>Antonio Román</t>
  </si>
  <si>
    <t>Elisa Mantilla</t>
  </si>
  <si>
    <t>Genoveva Pablos</t>
  </si>
  <si>
    <t>0015</t>
  </si>
  <si>
    <t>0013</t>
  </si>
  <si>
    <t>0014</t>
  </si>
  <si>
    <t>0012</t>
  </si>
  <si>
    <t>0010</t>
  </si>
  <si>
    <t>Validación de Datos</t>
  </si>
  <si>
    <t>Validación Cod empleado</t>
  </si>
  <si>
    <t>BUSCAR V</t>
  </si>
  <si>
    <t xml:space="preserve">Seleccionar valor a encontrar </t>
  </si>
  <si>
    <t>Luego la columna</t>
  </si>
  <si>
    <t>BUSCAR H</t>
  </si>
  <si>
    <t>Luego la fila</t>
  </si>
  <si>
    <t>Vendedor</t>
  </si>
  <si>
    <t>Fecha de venta</t>
  </si>
  <si>
    <t xml:space="preserve">ID  del producto </t>
  </si>
  <si>
    <t>Nombre del producto</t>
  </si>
  <si>
    <t>Precio unitario</t>
  </si>
  <si>
    <t>Total de venta</t>
  </si>
  <si>
    <t>ID del cliente</t>
  </si>
  <si>
    <t>Nombre del cliente</t>
  </si>
  <si>
    <t>Region o ubicación</t>
  </si>
  <si>
    <t>Categoria del producto</t>
  </si>
  <si>
    <t>Costo del producto</t>
  </si>
  <si>
    <t>Margen de beneficio</t>
  </si>
  <si>
    <t>PROD002</t>
  </si>
  <si>
    <t>Smartphone samsung Galaxy</t>
  </si>
  <si>
    <t>CLI002</t>
  </si>
  <si>
    <t>Maria Garcia</t>
  </si>
  <si>
    <t>Sur</t>
  </si>
  <si>
    <t>Efectivo</t>
  </si>
  <si>
    <t>VEND002</t>
  </si>
  <si>
    <t>Electronicos</t>
  </si>
  <si>
    <t>PROD001</t>
  </si>
  <si>
    <t>Laptop Dell XPS</t>
  </si>
  <si>
    <t>CLI001</t>
  </si>
  <si>
    <t>Juan Perez</t>
  </si>
  <si>
    <t>Norte</t>
  </si>
  <si>
    <t>Tarjeta de credito</t>
  </si>
  <si>
    <t>VEND001</t>
  </si>
  <si>
    <t>PROD003</t>
  </si>
  <si>
    <t>Zapatilla Nike Air Max</t>
  </si>
  <si>
    <t>CLI003</t>
  </si>
  <si>
    <t>Carlos Rodriguez</t>
  </si>
  <si>
    <t>Este</t>
  </si>
  <si>
    <t>Transferencia Bancaria</t>
  </si>
  <si>
    <t>VEND003</t>
  </si>
  <si>
    <t>Ropa y calzado</t>
  </si>
  <si>
    <t>PROD005</t>
  </si>
  <si>
    <t>Libro "Cien anños de soledad</t>
  </si>
  <si>
    <t>CLI005</t>
  </si>
  <si>
    <t>Pedro Sanchez</t>
  </si>
  <si>
    <t>Centro</t>
  </si>
  <si>
    <t>Tarjeta de debito</t>
  </si>
  <si>
    <t>Libros</t>
  </si>
  <si>
    <t>CLI004</t>
  </si>
  <si>
    <t>Ana Martinez</t>
  </si>
  <si>
    <t>Oeste</t>
  </si>
  <si>
    <t>Paypal</t>
  </si>
  <si>
    <t>Electrodomesticos</t>
  </si>
  <si>
    <t>Licuadora oster</t>
  </si>
  <si>
    <t>PROD006</t>
  </si>
  <si>
    <t>Tablet Samsung Galaxy Tab</t>
  </si>
  <si>
    <t>CLI006</t>
  </si>
  <si>
    <t>Luis Fernandez</t>
  </si>
  <si>
    <t>PROD007</t>
  </si>
  <si>
    <t>Audifonos Sony WH-1000XM4</t>
  </si>
  <si>
    <t>CLI007</t>
  </si>
  <si>
    <t>Camila Torres</t>
  </si>
  <si>
    <t>PROD008</t>
  </si>
  <si>
    <t>Silla ergonomica oficina</t>
  </si>
  <si>
    <t>CLI008</t>
  </si>
  <si>
    <t>Jorge Ramirez</t>
  </si>
  <si>
    <t>Muebles</t>
  </si>
  <si>
    <t>PROD009</t>
  </si>
  <si>
    <t>Mouse Logitech MX Master</t>
  </si>
  <si>
    <t>CLI009</t>
  </si>
  <si>
    <t>Andrea Lopez</t>
  </si>
  <si>
    <t>Accesorios</t>
  </si>
  <si>
    <t>PROD010</t>
  </si>
  <si>
    <t>Monitor LG 27 pulgadas</t>
  </si>
  <si>
    <t>CLI010</t>
  </si>
  <si>
    <t>Diego Morales</t>
  </si>
  <si>
    <t>PROD011</t>
  </si>
  <si>
    <t>Teclado mecanico Redragon</t>
  </si>
  <si>
    <t>CLI011</t>
  </si>
  <si>
    <t>Sofia Herrera</t>
  </si>
  <si>
    <t>PROD012</t>
  </si>
  <si>
    <t>Cafetera Oster 12 tazas</t>
  </si>
  <si>
    <t>CLI012</t>
  </si>
  <si>
    <t>Miguel Castro</t>
  </si>
  <si>
    <t>PROD013</t>
  </si>
  <si>
    <t>Smartwatch Xiaomi Band 8</t>
  </si>
  <si>
    <t>CLI013</t>
  </si>
  <si>
    <t>Valeria Rojas</t>
  </si>
  <si>
    <t>PROD014</t>
  </si>
  <si>
    <t>Mochila escolar Adidas</t>
  </si>
  <si>
    <t>CLI014</t>
  </si>
  <si>
    <t>Ricardo Vega</t>
  </si>
  <si>
    <t>PROD015</t>
  </si>
  <si>
    <t>Impresora HP DeskJet</t>
  </si>
  <si>
    <t>CLI015</t>
  </si>
  <si>
    <t>Elena Navarro</t>
  </si>
  <si>
    <t>PROD016</t>
  </si>
  <si>
    <t>Camara Canon EOS M50</t>
  </si>
  <si>
    <t>CLI016</t>
  </si>
  <si>
    <t>Pablo Gutierrez</t>
  </si>
  <si>
    <t>PROD017</t>
  </si>
  <si>
    <t>Altavoz JBL Charge 5</t>
  </si>
  <si>
    <t>CLI017</t>
  </si>
  <si>
    <t>Laura Medina</t>
  </si>
  <si>
    <t>PROD018</t>
  </si>
  <si>
    <t>Mesa de escritorio madera</t>
  </si>
  <si>
    <t>CLI018</t>
  </si>
  <si>
    <t>Raul Paredes</t>
  </si>
  <si>
    <t>PROD019</t>
  </si>
  <si>
    <t>Zapatillas Adidas Runfalcon</t>
  </si>
  <si>
    <t>CLI019</t>
  </si>
  <si>
    <t>Daniela Soto</t>
  </si>
  <si>
    <t>PROD020</t>
  </si>
  <si>
    <t>Horno microondas Samsung</t>
  </si>
  <si>
    <t>CLI020</t>
  </si>
  <si>
    <t>Cesar Vargas</t>
  </si>
  <si>
    <t>PROD021</t>
  </si>
  <si>
    <t>Disco duro externo 1TB</t>
  </si>
  <si>
    <t>CLI021</t>
  </si>
  <si>
    <t>Mariana Ruiz</t>
  </si>
  <si>
    <t>PROD022</t>
  </si>
  <si>
    <t>Lampara LED escritorio</t>
  </si>
  <si>
    <t>CLI022</t>
  </si>
  <si>
    <t>Julio Campos</t>
  </si>
  <si>
    <t>Iluminacion</t>
  </si>
  <si>
    <t>PROD023</t>
  </si>
  <si>
    <t>Tablet Lenovo Tab M10</t>
  </si>
  <si>
    <t>CLI023</t>
  </si>
  <si>
    <t>Paola Rios</t>
  </si>
  <si>
    <t>PROD024</t>
  </si>
  <si>
    <t>Aspiradora Philips PowerPro</t>
  </si>
  <si>
    <t>CLI024</t>
  </si>
  <si>
    <t>Fernando Luna</t>
  </si>
  <si>
    <t>PROD025</t>
  </si>
  <si>
    <t>Silla gamer Cougar</t>
  </si>
  <si>
    <t>CLI025</t>
  </si>
  <si>
    <t>Kevin Salazar</t>
  </si>
  <si>
    <t>PROD026</t>
  </si>
  <si>
    <t>Reloj Casio digital</t>
  </si>
  <si>
    <t>CLI026</t>
  </si>
  <si>
    <t>Natalia Vega</t>
  </si>
  <si>
    <t>PROD027</t>
  </si>
  <si>
    <t>Bicicleta urbana Trek</t>
  </si>
  <si>
    <t>CLI027</t>
  </si>
  <si>
    <t>Andres Molina</t>
  </si>
  <si>
    <t>Deportes</t>
  </si>
  <si>
    <t>PROD028</t>
  </si>
  <si>
    <t>Router TP-Link AX3000</t>
  </si>
  <si>
    <t>CLI028</t>
  </si>
  <si>
    <t>Gabriela Peña</t>
  </si>
  <si>
    <t>PROD029</t>
  </si>
  <si>
    <t>Celular Xiaomi Redmi Note</t>
  </si>
  <si>
    <t>CLI029</t>
  </si>
  <si>
    <t>Hector Fuentes</t>
  </si>
  <si>
    <t>PROD030</t>
  </si>
  <si>
    <t>Batidora Oster 6 velocidades</t>
  </si>
  <si>
    <t>CLI030</t>
  </si>
  <si>
    <t>Lucia Cabrera</t>
  </si>
  <si>
    <t>PROD031</t>
  </si>
  <si>
    <t>Impresora Epson EcoTank</t>
  </si>
  <si>
    <t>CLI031</t>
  </si>
  <si>
    <t>Martin Rojas</t>
  </si>
  <si>
    <t>PROD032</t>
  </si>
  <si>
    <t>Auriculares Bluetooth JBL</t>
  </si>
  <si>
    <t>CLI032</t>
  </si>
  <si>
    <t>Carla Navarro</t>
  </si>
  <si>
    <t>PROD033</t>
  </si>
  <si>
    <t>Mochila Nike deportiva</t>
  </si>
  <si>
    <t>CLI033</t>
  </si>
  <si>
    <t>Sergio Acosta</t>
  </si>
  <si>
    <t>PROD034</t>
  </si>
  <si>
    <t>Ventilador Torre Taurus</t>
  </si>
  <si>
    <t>CLI034</t>
  </si>
  <si>
    <t>Ana Beltran</t>
  </si>
  <si>
    <t>PROD035</t>
  </si>
  <si>
    <t>Smart TV LG 50 pulgadas</t>
  </si>
  <si>
    <t>CLI035</t>
  </si>
  <si>
    <t>David Herrera</t>
  </si>
  <si>
    <t>Metodo de pago</t>
  </si>
  <si>
    <t>Suma de Total de venta</t>
  </si>
  <si>
    <t>Total general</t>
  </si>
  <si>
    <t>Total Centro</t>
  </si>
  <si>
    <t>Total Este</t>
  </si>
  <si>
    <t>Total Norte</t>
  </si>
  <si>
    <t>Total Oeste</t>
  </si>
  <si>
    <t>Total Sur</t>
  </si>
  <si>
    <t>Insertar</t>
  </si>
  <si>
    <t>Segmentacion</t>
  </si>
  <si>
    <t xml:space="preserve">Click derechoTamaño y propiedades </t>
  </si>
  <si>
    <t>PROD036</t>
  </si>
  <si>
    <t>Laptop HP Pavilion</t>
  </si>
  <si>
    <t>CLI036</t>
  </si>
  <si>
    <t>Alberto Cruz</t>
  </si>
  <si>
    <t>PROD037</t>
  </si>
  <si>
    <t>iPhone 14</t>
  </si>
  <si>
    <t>CLI037</t>
  </si>
  <si>
    <t>Monica Reyes</t>
  </si>
  <si>
    <t>PROD038</t>
  </si>
  <si>
    <t>Smart TV Samsung 55"</t>
  </si>
  <si>
    <t>CLI038</t>
  </si>
  <si>
    <t>Javier Molina</t>
  </si>
  <si>
    <t>PROD039</t>
  </si>
  <si>
    <t>Refrigeradora LG</t>
  </si>
  <si>
    <t>CLI039</t>
  </si>
  <si>
    <t>Patricia Gomez</t>
  </si>
  <si>
    <t>PROD040</t>
  </si>
  <si>
    <t>PlayStation 5</t>
  </si>
  <si>
    <t>CLI040</t>
  </si>
  <si>
    <t>Carlos Vega</t>
  </si>
  <si>
    <t>PROD041</t>
  </si>
  <si>
    <t>Lavadora Samsung 18kg</t>
  </si>
  <si>
    <t>CLI041</t>
  </si>
  <si>
    <t>Luisa Herrera</t>
  </si>
  <si>
    <t>PROD042</t>
  </si>
  <si>
    <t>Monitor Gamer ASUS 27"</t>
  </si>
  <si>
    <t>CLI042</t>
  </si>
  <si>
    <t>Rodrigo Salas</t>
  </si>
  <si>
    <t>PROD043</t>
  </si>
  <si>
    <t>Silla Gamer Pro</t>
  </si>
  <si>
    <t>CLI043</t>
  </si>
  <si>
    <t>Diana Castro</t>
  </si>
  <si>
    <t>PROD044</t>
  </si>
  <si>
    <t>Tableta iPad Air</t>
  </si>
  <si>
    <t>CLI044</t>
  </si>
  <si>
    <t>Felipe Torres</t>
  </si>
  <si>
    <t>PROD045</t>
  </si>
  <si>
    <t>Aire Acondicionado LG</t>
  </si>
  <si>
    <t>CLI045</t>
  </si>
  <si>
    <t>Maria Lopez</t>
  </si>
  <si>
    <t>PROD046</t>
  </si>
  <si>
    <t>PC Gamer RTX</t>
  </si>
  <si>
    <t>CLI046</t>
  </si>
  <si>
    <t>Andres Rios</t>
  </si>
  <si>
    <t>PROD047</t>
  </si>
  <si>
    <t>MacBook Pro 14"</t>
  </si>
  <si>
    <t>CLI047</t>
  </si>
  <si>
    <t>Sofia Martinez</t>
  </si>
  <si>
    <t>PROD048</t>
  </si>
  <si>
    <t>Camara Sony Alpha</t>
  </si>
  <si>
    <t>CLI048</t>
  </si>
  <si>
    <t>Jose Ramirez</t>
  </si>
  <si>
    <t>PROD049</t>
  </si>
  <si>
    <t>Bicicleta Electrica</t>
  </si>
  <si>
    <t>CLI049</t>
  </si>
  <si>
    <t>Camila Duarte</t>
  </si>
  <si>
    <t>PROD050</t>
  </si>
  <si>
    <t>Proyector Epson HD</t>
  </si>
  <si>
    <t>CLI050</t>
  </si>
  <si>
    <t>Diego Navarro</t>
  </si>
  <si>
    <t>PROD051</t>
  </si>
  <si>
    <t>Horno Industrial</t>
  </si>
  <si>
    <t>CLI051</t>
  </si>
  <si>
    <t>Raul Mendoza</t>
  </si>
  <si>
    <t>PROD052</t>
  </si>
  <si>
    <t>Servidor NAS Synology</t>
  </si>
  <si>
    <t>CLI052</t>
  </si>
  <si>
    <t>Gabriel Ponce</t>
  </si>
  <si>
    <t>Tecnologia</t>
  </si>
  <si>
    <t>PROD053</t>
  </si>
  <si>
    <t>Drone DJI Mini 3</t>
  </si>
  <si>
    <t>CLI053</t>
  </si>
  <si>
    <t>Valeria Ruiz</t>
  </si>
  <si>
    <t>PROD054</t>
  </si>
  <si>
    <t>Smart TV OLED LG 65"</t>
  </si>
  <si>
    <t>CLI054</t>
  </si>
  <si>
    <t>Hector Silva</t>
  </si>
  <si>
    <t>PROD055</t>
  </si>
  <si>
    <t>Consola Xbox Series X</t>
  </si>
  <si>
    <t>CLI055</t>
  </si>
  <si>
    <t>Elena Torres</t>
  </si>
  <si>
    <t>Daniel</t>
  </si>
  <si>
    <t>Mikel</t>
  </si>
  <si>
    <t>David</t>
  </si>
  <si>
    <t>María</t>
  </si>
  <si>
    <t>Edad</t>
  </si>
  <si>
    <t>Valor Compra</t>
  </si>
  <si>
    <t>Tabla</t>
  </si>
  <si>
    <t>4-6</t>
  </si>
  <si>
    <t>Cantidad Vendida</t>
  </si>
  <si>
    <t>Cantidad vendida</t>
  </si>
  <si>
    <t>Métodos de Pago</t>
  </si>
  <si>
    <t>Elegir valores</t>
  </si>
  <si>
    <t>Click derecho - Agrupar</t>
  </si>
  <si>
    <t>Segmentación de Datos</t>
  </si>
  <si>
    <t>Pagos bancarios</t>
  </si>
  <si>
    <t>Pago por internet</t>
  </si>
  <si>
    <t>Ubicación</t>
  </si>
  <si>
    <t xml:space="preserve">Producto </t>
  </si>
  <si>
    <t xml:space="preserve">Color </t>
  </si>
  <si>
    <t xml:space="preserve">Stock </t>
  </si>
  <si>
    <t xml:space="preserve">Vaquero </t>
  </si>
  <si>
    <t>Zapatillas</t>
  </si>
  <si>
    <t>Blusa</t>
  </si>
  <si>
    <t xml:space="preserve">Sudadera </t>
  </si>
  <si>
    <t xml:space="preserve">Negra </t>
  </si>
  <si>
    <t>Azul</t>
  </si>
  <si>
    <t xml:space="preserve">CRITERIO </t>
  </si>
  <si>
    <t>CONTAR.SI</t>
  </si>
  <si>
    <t>contar.siconjunto</t>
  </si>
  <si>
    <t>criterio 1</t>
  </si>
  <si>
    <t>criterio 2</t>
  </si>
  <si>
    <t>Color</t>
  </si>
  <si>
    <t>Stock</t>
  </si>
  <si>
    <t>Producto</t>
  </si>
  <si>
    <t>Camisa</t>
  </si>
  <si>
    <t>Patilla</t>
  </si>
  <si>
    <t>Rojo</t>
  </si>
  <si>
    <t>Negra</t>
  </si>
  <si>
    <t>Zapa</t>
  </si>
  <si>
    <t>patillas</t>
  </si>
  <si>
    <t xml:space="preserve">Cami"*", "*"Anca, stock disponible &gt;5 </t>
  </si>
  <si>
    <t>Cami</t>
  </si>
  <si>
    <t>anca</t>
  </si>
  <si>
    <t>Tengo 12 unidades de Vaquero de color azul</t>
  </si>
  <si>
    <t>Igual</t>
  </si>
  <si>
    <t>1-3</t>
  </si>
  <si>
    <t>7-10</t>
  </si>
  <si>
    <t>ID DEL PRODUCTO</t>
  </si>
  <si>
    <t>ID DEL VENDEDOR</t>
  </si>
  <si>
    <t>TOTAL VENTA</t>
  </si>
  <si>
    <t>ID PRODUCTO</t>
  </si>
  <si>
    <t xml:space="preserve">NOMBRE </t>
  </si>
  <si>
    <t>Ordenadores</t>
  </si>
  <si>
    <t>Camisetas</t>
  </si>
  <si>
    <t>ID VENDEDOR</t>
  </si>
  <si>
    <t>NOMBRE</t>
  </si>
  <si>
    <t>Pepe</t>
  </si>
  <si>
    <t>Lucía</t>
  </si>
  <si>
    <t>Alicia</t>
  </si>
  <si>
    <t>ID Region</t>
  </si>
  <si>
    <t xml:space="preserve">Norte </t>
  </si>
  <si>
    <t>Insetar Tabla Dinamica</t>
  </si>
  <si>
    <t>Agregar estos Datos al Modelo de Datos x 4 - Hacer lo mismo con la 4 tablas</t>
  </si>
  <si>
    <t>Pestaña Datos - Administrar Tabla de Datos - Habilitar (Abre POWER PIVOT)</t>
  </si>
  <si>
    <t>Vista de Diagramas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</si>
</sst>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;[Red]\-#,##0.00\ &quot;€&quot;"/>
    <numFmt numFmtId="165" formatCode="#,##0.00\ &quot;€&quot;"/>
    <numFmt numFmtId="166" formatCode="_-[$€-2]\ * #,##0.00_-;\-[$€-2]\ * #,##0.00_-;_-[$€-2]\ 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10486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2" fillId="3" borderId="2" xfId="0" applyFont="1" applyFill="1" applyBorder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/>
    <xf numFmtId="0" fontId="0" fillId="6" borderId="1" xfId="0" applyFill="1" applyBorder="1"/>
    <xf numFmtId="0" fontId="0" fillId="6" borderId="0" xfId="0" applyFill="1"/>
    <xf numFmtId="0" fontId="2" fillId="6" borderId="1" xfId="0" applyFont="1" applyFill="1" applyBorder="1"/>
    <xf numFmtId="165" fontId="0" fillId="6" borderId="1" xfId="0" applyNumberFormat="1" applyFill="1" applyBorder="1"/>
    <xf numFmtId="165" fontId="0" fillId="6" borderId="0" xfId="0" applyNumberFormat="1" applyFill="1"/>
    <xf numFmtId="165" fontId="0" fillId="6" borderId="3" xfId="0" applyNumberFormat="1" applyFill="1" applyBorder="1"/>
    <xf numFmtId="0" fontId="2" fillId="0" borderId="0" xfId="0" applyFont="1"/>
    <xf numFmtId="165" fontId="0" fillId="6" borderId="4" xfId="0" applyNumberFormat="1" applyFill="1" applyBorder="1"/>
    <xf numFmtId="165" fontId="0" fillId="6" borderId="5" xfId="0" applyNumberFormat="1" applyFill="1" applyBorder="1"/>
    <xf numFmtId="0" fontId="2" fillId="3" borderId="3" xfId="0" applyFont="1" applyFill="1" applyBorder="1"/>
    <xf numFmtId="0" fontId="0" fillId="0" borderId="10" xfId="0" applyBorder="1"/>
    <xf numFmtId="0" fontId="0" fillId="0" borderId="6" xfId="0" applyBorder="1"/>
    <xf numFmtId="0" fontId="2" fillId="2" borderId="2" xfId="0" applyFont="1" applyFill="1" applyBorder="1"/>
    <xf numFmtId="0" fontId="0" fillId="0" borderId="3" xfId="0" applyBorder="1"/>
    <xf numFmtId="0" fontId="2" fillId="2" borderId="8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0" fontId="0" fillId="0" borderId="4" xfId="0" applyBorder="1"/>
    <xf numFmtId="0" fontId="2" fillId="3" borderId="4" xfId="0" applyFont="1" applyFill="1" applyBorder="1"/>
    <xf numFmtId="0" fontId="2" fillId="5" borderId="2" xfId="0" applyFont="1" applyFill="1" applyBorder="1"/>
    <xf numFmtId="0" fontId="2" fillId="5" borderId="8" xfId="0" applyFont="1" applyFill="1" applyBorder="1"/>
    <xf numFmtId="0" fontId="2" fillId="5" borderId="7" xfId="0" applyFont="1" applyFill="1" applyBorder="1"/>
    <xf numFmtId="0" fontId="2" fillId="5" borderId="9" xfId="0" applyFont="1" applyFill="1" applyBorder="1"/>
    <xf numFmtId="0" fontId="0" fillId="6" borderId="2" xfId="0" applyFill="1" applyBorder="1"/>
    <xf numFmtId="0" fontId="2" fillId="6" borderId="6" xfId="0" applyFont="1" applyFill="1" applyBorder="1"/>
    <xf numFmtId="0" fontId="2" fillId="6" borderId="7" xfId="0" applyFont="1" applyFill="1" applyBorder="1"/>
    <xf numFmtId="165" fontId="2" fillId="6" borderId="8" xfId="0" applyNumberFormat="1" applyFont="1" applyFill="1" applyBorder="1"/>
    <xf numFmtId="0" fontId="2" fillId="6" borderId="8" xfId="0" applyFont="1" applyFill="1" applyBorder="1"/>
    <xf numFmtId="0" fontId="0" fillId="6" borderId="9" xfId="0" applyFill="1" applyBorder="1"/>
    <xf numFmtId="165" fontId="0" fillId="6" borderId="10" xfId="0" applyNumberFormat="1" applyFill="1" applyBorder="1"/>
    <xf numFmtId="0" fontId="0" fillId="7" borderId="0" xfId="0" applyFill="1"/>
    <xf numFmtId="0" fontId="2" fillId="0" borderId="1" xfId="0" applyFont="1" applyBorder="1"/>
    <xf numFmtId="0" fontId="2" fillId="7" borderId="0" xfId="0" applyFont="1" applyFill="1"/>
    <xf numFmtId="0" fontId="0" fillId="0" borderId="1" xfId="0" applyBorder="1" applyAlignment="1">
      <alignment horizontal="center"/>
    </xf>
    <xf numFmtId="0" fontId="0" fillId="7" borderId="0" xfId="0" applyFill="1" applyAlignment="1">
      <alignment horizontal="center"/>
    </xf>
    <xf numFmtId="0" fontId="2" fillId="8" borderId="1" xfId="0" applyFont="1" applyFill="1" applyBorder="1"/>
    <xf numFmtId="0" fontId="2" fillId="8" borderId="0" xfId="0" applyFont="1" applyFill="1"/>
    <xf numFmtId="0" fontId="2" fillId="8" borderId="1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0" fillId="7" borderId="1" xfId="0" applyFill="1" applyBorder="1"/>
    <xf numFmtId="0" fontId="3" fillId="0" borderId="0" xfId="0" applyFont="1"/>
    <xf numFmtId="0" fontId="1" fillId="4" borderId="0" xfId="0" applyFont="1" applyFill="1"/>
    <xf numFmtId="0" fontId="1" fillId="4" borderId="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9" borderId="0" xfId="0" applyFill="1"/>
    <xf numFmtId="165" fontId="0" fillId="9" borderId="0" xfId="0" applyNumberFormat="1" applyFill="1"/>
    <xf numFmtId="0" fontId="0" fillId="10" borderId="0" xfId="0" applyFill="1"/>
    <xf numFmtId="165" fontId="0" fillId="10" borderId="0" xfId="0" applyNumberFormat="1" applyFill="1"/>
    <xf numFmtId="9" fontId="0" fillId="10" borderId="0" xfId="1" applyFont="1" applyFill="1" applyBorder="1"/>
    <xf numFmtId="0" fontId="0" fillId="3" borderId="0" xfId="0" applyFill="1"/>
    <xf numFmtId="165" fontId="0" fillId="3" borderId="0" xfId="0" applyNumberFormat="1" applyFill="1"/>
    <xf numFmtId="9" fontId="0" fillId="3" borderId="0" xfId="1" applyFont="1" applyFill="1" applyBorder="1"/>
    <xf numFmtId="0" fontId="0" fillId="11" borderId="0" xfId="0" applyFill="1"/>
    <xf numFmtId="165" fontId="0" fillId="11" borderId="0" xfId="0" applyNumberFormat="1" applyFill="1"/>
    <xf numFmtId="9" fontId="0" fillId="11" borderId="0" xfId="1" applyFont="1" applyFill="1" applyBorder="1"/>
    <xf numFmtId="0" fontId="0" fillId="12" borderId="0" xfId="0" applyFill="1"/>
    <xf numFmtId="165" fontId="0" fillId="12" borderId="0" xfId="0" applyNumberFormat="1" applyFill="1"/>
    <xf numFmtId="165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14" borderId="13" xfId="0" applyFill="1" applyBorder="1"/>
    <xf numFmtId="0" fontId="0" fillId="14" borderId="14" xfId="0" applyFill="1" applyBorder="1"/>
    <xf numFmtId="49" fontId="0" fillId="0" borderId="0" xfId="0" applyNumberFormat="1"/>
    <xf numFmtId="0" fontId="5" fillId="13" borderId="15" xfId="0" applyFont="1" applyFill="1" applyBorder="1"/>
    <xf numFmtId="0" fontId="5" fillId="13" borderId="16" xfId="0" applyFont="1" applyFill="1" applyBorder="1"/>
    <xf numFmtId="0" fontId="5" fillId="13" borderId="17" xfId="0" applyFont="1" applyFill="1" applyBorder="1"/>
    <xf numFmtId="49" fontId="0" fillId="14" borderId="15" xfId="0" applyNumberFormat="1" applyFill="1" applyBorder="1"/>
    <xf numFmtId="0" fontId="0" fillId="14" borderId="16" xfId="0" applyFill="1" applyBorder="1"/>
    <xf numFmtId="0" fontId="0" fillId="14" borderId="17" xfId="0" applyFill="1" applyBorder="1"/>
    <xf numFmtId="49" fontId="0" fillId="0" borderId="15" xfId="0" applyNumberFormat="1" applyBorder="1"/>
    <xf numFmtId="0" fontId="0" fillId="0" borderId="16" xfId="0" applyBorder="1"/>
    <xf numFmtId="0" fontId="0" fillId="0" borderId="17" xfId="0" applyBorder="1"/>
    <xf numFmtId="49" fontId="0" fillId="14" borderId="12" xfId="0" applyNumberFormat="1" applyFill="1" applyBorder="1"/>
    <xf numFmtId="14" fontId="6" fillId="15" borderId="0" xfId="0" applyNumberFormat="1" applyFont="1" applyFill="1"/>
    <xf numFmtId="0" fontId="6" fillId="15" borderId="0" xfId="0" applyFont="1" applyFill="1"/>
    <xf numFmtId="164" fontId="0" fillId="0" borderId="0" xfId="0" applyNumberFormat="1"/>
    <xf numFmtId="164" fontId="6" fillId="15" borderId="0" xfId="0" applyNumberFormat="1" applyFont="1" applyFill="1"/>
    <xf numFmtId="0" fontId="6" fillId="0" borderId="0" xfId="0" applyFont="1"/>
    <xf numFmtId="14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166" fontId="7" fillId="0" borderId="0" xfId="0" applyNumberFormat="1" applyFont="1"/>
    <xf numFmtId="166" fontId="6" fillId="15" borderId="0" xfId="0" applyNumberFormat="1" applyFont="1" applyFill="1"/>
    <xf numFmtId="166" fontId="6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16" borderId="0" xfId="0" applyFill="1"/>
    <xf numFmtId="0" fontId="5" fillId="17" borderId="18" xfId="0" applyFont="1" applyFill="1" applyBorder="1"/>
    <xf numFmtId="0" fontId="0" fillId="0" borderId="19" xfId="0" applyBorder="1"/>
    <xf numFmtId="0" fontId="5" fillId="17" borderId="0" xfId="0" applyFont="1" applyFill="1"/>
    <xf numFmtId="0" fontId="2" fillId="0" borderId="0" xfId="0" applyFont="1" applyAlignment="1">
      <alignment horizontal="center"/>
    </xf>
    <xf numFmtId="0" fontId="2" fillId="18" borderId="6" xfId="0" applyFont="1" applyFill="1" applyBorder="1"/>
    <xf numFmtId="0" fontId="2" fillId="18" borderId="7" xfId="0" applyFont="1" applyFill="1" applyBorder="1"/>
    <xf numFmtId="165" fontId="2" fillId="18" borderId="8" xfId="0" applyNumberFormat="1" applyFont="1" applyFill="1" applyBorder="1"/>
    <xf numFmtId="0" fontId="2" fillId="18" borderId="8" xfId="0" applyFont="1" applyFill="1" applyBorder="1"/>
    <xf numFmtId="0" fontId="0" fillId="18" borderId="0" xfId="0" applyFill="1"/>
    <xf numFmtId="0" fontId="0" fillId="18" borderId="2" xfId="0" applyFill="1" applyBorder="1"/>
    <xf numFmtId="165" fontId="0" fillId="18" borderId="3" xfId="0" applyNumberFormat="1" applyFill="1" applyBorder="1"/>
    <xf numFmtId="165" fontId="0" fillId="18" borderId="1" xfId="0" applyNumberFormat="1" applyFill="1" applyBorder="1"/>
    <xf numFmtId="0" fontId="0" fillId="18" borderId="3" xfId="0" applyFill="1" applyBorder="1"/>
    <xf numFmtId="0" fontId="0" fillId="18" borderId="9" xfId="0" applyFill="1" applyBorder="1"/>
    <xf numFmtId="165" fontId="0" fillId="18" borderId="10" xfId="0" applyNumberFormat="1" applyFill="1" applyBorder="1"/>
    <xf numFmtId="165" fontId="0" fillId="18" borderId="4" xfId="0" applyNumberFormat="1" applyFill="1" applyBorder="1"/>
    <xf numFmtId="0" fontId="0" fillId="18" borderId="10" xfId="0" applyFill="1" applyBorder="1"/>
  </cellXfs>
  <cellStyles count="2">
    <cellStyle name="Normal" xfId="0" builtinId="0"/>
    <cellStyle name="Percent" xfId="1" builtinId="5"/>
  </cellStyles>
  <dxfs count="85">
    <dxf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#,##0.00\ &quot;€&quot;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.00\ &quot;€&quot;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.00\ &quot;€&quot;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.00\ &quot;€&quot;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  <numFmt numFmtId="166" formatCode="_-[$€-2]\ * #,##0.00_-;\-[$€-2]\ * #,##0.00_-;_-[$€-2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  <numFmt numFmtId="167" formatCode="d/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486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30" formatCode="@"/>
    </dxf>
    <dxf>
      <numFmt numFmtId="165" formatCode="#,##0.00\ &quot;€&quot;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.00\ &quot;€&quot;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.00\ &quot;€&quot;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.00\ &quot;€&quot;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74999237037263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07/relationships/slicerCache" Target="slicerCaches/slicerCache6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2.xml"/><Relationship Id="rId27" Type="http://schemas.microsoft.com/office/2007/relationships/slicerCache" Target="slicerCaches/slicerCache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Dispersión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586797669288151"/>
          <c:y val="0.12550491414740444"/>
          <c:w val="0.83888871176674029"/>
          <c:h val="0.8016068510820154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Outliers!$C$2:$C$31</c:f>
              <c:numCache>
                <c:formatCode>#,##0.00\ "€"</c:formatCode>
                <c:ptCount val="30"/>
                <c:pt idx="0">
                  <c:v>1009</c:v>
                </c:pt>
                <c:pt idx="1">
                  <c:v>2626</c:v>
                </c:pt>
                <c:pt idx="2">
                  <c:v>2936</c:v>
                </c:pt>
                <c:pt idx="3">
                  <c:v>1458</c:v>
                </c:pt>
                <c:pt idx="4">
                  <c:v>2545</c:v>
                </c:pt>
                <c:pt idx="5">
                  <c:v>1776</c:v>
                </c:pt>
                <c:pt idx="6">
                  <c:v>1698</c:v>
                </c:pt>
                <c:pt idx="7">
                  <c:v>12000</c:v>
                </c:pt>
                <c:pt idx="8">
                  <c:v>2052</c:v>
                </c:pt>
                <c:pt idx="9">
                  <c:v>2824</c:v>
                </c:pt>
                <c:pt idx="10">
                  <c:v>1891</c:v>
                </c:pt>
                <c:pt idx="11">
                  <c:v>2034</c:v>
                </c:pt>
                <c:pt idx="12">
                  <c:v>1130</c:v>
                </c:pt>
                <c:pt idx="13">
                  <c:v>1340</c:v>
                </c:pt>
                <c:pt idx="14">
                  <c:v>2625</c:v>
                </c:pt>
                <c:pt idx="15">
                  <c:v>1470</c:v>
                </c:pt>
                <c:pt idx="16">
                  <c:v>2057</c:v>
                </c:pt>
                <c:pt idx="17">
                  <c:v>1876</c:v>
                </c:pt>
                <c:pt idx="18">
                  <c:v>2164</c:v>
                </c:pt>
                <c:pt idx="19">
                  <c:v>2911</c:v>
                </c:pt>
                <c:pt idx="20">
                  <c:v>1702</c:v>
                </c:pt>
                <c:pt idx="21">
                  <c:v>1253</c:v>
                </c:pt>
                <c:pt idx="22">
                  <c:v>2930</c:v>
                </c:pt>
                <c:pt idx="23">
                  <c:v>2822</c:v>
                </c:pt>
                <c:pt idx="24">
                  <c:v>2582</c:v>
                </c:pt>
                <c:pt idx="25">
                  <c:v>1352</c:v>
                </c:pt>
                <c:pt idx="26">
                  <c:v>1656</c:v>
                </c:pt>
                <c:pt idx="27">
                  <c:v>1269</c:v>
                </c:pt>
                <c:pt idx="28">
                  <c:v>1195</c:v>
                </c:pt>
                <c:pt idx="29">
                  <c:v>2712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6-F44A-B288-DCBDBB8EF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87679"/>
        <c:axId val="1324681407"/>
      </c:scatterChart>
      <c:valAx>
        <c:axId val="132468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4681407"/>
        <c:crosses val="autoZero"/>
        <c:crossBetween val="midCat"/>
      </c:valAx>
      <c:valAx>
        <c:axId val="132468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4687679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BB-5144-9B99-5AA947906C11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7BB-5144-9B99-5AA947906C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Anillos!$D$4:$E$4</c:f>
              <c:numCache>
                <c:formatCode>0%</c:formatCode>
                <c:ptCount val="2"/>
                <c:pt idx="0">
                  <c:v>0.7</c:v>
                </c:pt>
                <c:pt idx="1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B-5144-9B99-5AA947906C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D9-8F4B-B15A-F12D62B18FF9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D9-8F4B-B15A-F12D62B18F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Anillos!$D$3:$E$3</c:f>
              <c:numCache>
                <c:formatCode>0%</c:formatCode>
                <c:ptCount val="2"/>
                <c:pt idx="0">
                  <c:v>0.58333333333333337</c:v>
                </c:pt>
                <c:pt idx="1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D9-8F4B-B15A-F12D62B18FF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06-9543-9E8D-38DF48E3D95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06-9543-9E8D-38DF48E3D9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Anillos!$D$2:$E$2</c:f>
              <c:numCache>
                <c:formatCode>0%</c:formatCode>
                <c:ptCount val="2"/>
                <c:pt idx="0">
                  <c:v>0.2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06-9543-9E8D-38DF48E3D9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70-4245-9426-88B538B13C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70-4245-9426-88B538B13C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70-4245-9426-88B538B13C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70-4245-9426-88B538B13C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70-4245-9426-88B538B13C3E}"/>
              </c:ext>
            </c:extLst>
          </c:dPt>
          <c:dPt>
            <c:idx val="5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1AD-D143-9ECC-76ACA1239F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Encuestas!$A$2:$A$7</c:f>
              <c:strCache>
                <c:ptCount val="6"/>
                <c:pt idx="0">
                  <c:v>PP</c:v>
                </c:pt>
                <c:pt idx="1">
                  <c:v>PSOE</c:v>
                </c:pt>
                <c:pt idx="2">
                  <c:v>VOX</c:v>
                </c:pt>
                <c:pt idx="3">
                  <c:v>SUMAR </c:v>
                </c:pt>
                <c:pt idx="4">
                  <c:v>RESTO</c:v>
                </c:pt>
                <c:pt idx="5">
                  <c:v>Total </c:v>
                </c:pt>
              </c:strCache>
            </c:strRef>
          </c:cat>
          <c:val>
            <c:numRef>
              <c:f>Encuestas!$B$2:$B$7</c:f>
              <c:numCache>
                <c:formatCode>0%</c:formatCode>
                <c:ptCount val="6"/>
                <c:pt idx="0">
                  <c:v>0.55000000000000004</c:v>
                </c:pt>
                <c:pt idx="1">
                  <c:v>0.18</c:v>
                </c:pt>
                <c:pt idx="2">
                  <c:v>0.15</c:v>
                </c:pt>
                <c:pt idx="3">
                  <c:v>0.08</c:v>
                </c:pt>
                <c:pt idx="4">
                  <c:v>0.04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D143-9ECC-76ACA1239FDC}"/>
            </c:ext>
          </c:extLst>
        </c:ser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170-4245-9426-88B538B13C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170-4245-9426-88B538B13C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170-4245-9426-88B538B13C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170-4245-9426-88B538B13C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170-4245-9426-88B538B13C3E}"/>
              </c:ext>
            </c:extLst>
          </c:dPt>
          <c:dPt>
            <c:idx val="5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AD-D143-9ECC-76ACA1239F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Encuestas!$A$2:$A$7</c:f>
              <c:strCache>
                <c:ptCount val="6"/>
                <c:pt idx="0">
                  <c:v>PP</c:v>
                </c:pt>
                <c:pt idx="1">
                  <c:v>PSOE</c:v>
                </c:pt>
                <c:pt idx="2">
                  <c:v>VOX</c:v>
                </c:pt>
                <c:pt idx="3">
                  <c:v>SUMAR </c:v>
                </c:pt>
                <c:pt idx="4">
                  <c:v>RESTO</c:v>
                </c:pt>
                <c:pt idx="5">
                  <c:v>Total </c:v>
                </c:pt>
              </c:strCache>
            </c:strRef>
          </c:cat>
          <c:val>
            <c:numRef>
              <c:f>Encuestas!$C$2:$C$7</c:f>
              <c:numCache>
                <c:formatCode>0%</c:formatCode>
                <c:ptCount val="6"/>
                <c:pt idx="0">
                  <c:v>0.66</c:v>
                </c:pt>
                <c:pt idx="1">
                  <c:v>0.28000000000000003</c:v>
                </c:pt>
                <c:pt idx="2">
                  <c:v>0.06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D143-9ECC-76ACA1239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[Herramientas Tecnológicas para el Análisis de Datos y de Negocios. Luis De Zabala.xlsx]Tabla de ventas!TablaDinámica10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Métodos de Pago y Total de 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17377333041703119"/>
          <c:w val="0.72549759405074365"/>
          <c:h val="0.531288641003207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'Tabla de ventas'!$F$60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'Tabla de ventas'!$E$61:$E$69</c:f>
              <c:multiLvlStrCache>
                <c:ptCount val="5"/>
                <c:lvl>
                  <c:pt idx="0">
                    <c:v>Efectivo</c:v>
                  </c:pt>
                  <c:pt idx="1">
                    <c:v>Paypal</c:v>
                  </c:pt>
                  <c:pt idx="2">
                    <c:v>Tarjeta de credito</c:v>
                  </c:pt>
                  <c:pt idx="3">
                    <c:v>Tarjeta de debito</c:v>
                  </c:pt>
                  <c:pt idx="4">
                    <c:v>Transferencia Bancaria</c:v>
                  </c:pt>
                </c:lvl>
                <c:lvl>
                  <c:pt idx="0">
                    <c:v>Efectivo</c:v>
                  </c:pt>
                  <c:pt idx="1">
                    <c:v>Pago por internet</c:v>
                  </c:pt>
                  <c:pt idx="2">
                    <c:v>Pagos bancarios</c:v>
                  </c:pt>
                </c:lvl>
              </c:multiLvlStrCache>
            </c:multiLvlStrRef>
          </c:cat>
          <c:val>
            <c:numRef>
              <c:f>'Tabla de ventas'!$F$61:$F$69</c:f>
              <c:numCache>
                <c:formatCode>General</c:formatCode>
                <c:ptCount val="5"/>
                <c:pt idx="0">
                  <c:v>5520981</c:v>
                </c:pt>
                <c:pt idx="1">
                  <c:v>5500993</c:v>
                </c:pt>
                <c:pt idx="2">
                  <c:v>4835492</c:v>
                </c:pt>
                <c:pt idx="3">
                  <c:v>4398978</c:v>
                </c:pt>
                <c:pt idx="4">
                  <c:v>7052972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7-384D-BFF0-D3C55DCCF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6433983"/>
        <c:axId val="1676685119"/>
      </c:barChart>
      <c:catAx>
        <c:axId val="167643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6685119"/>
        <c:crosses val="autoZero"/>
        <c:auto val="1"/>
        <c:lblAlgn val="ctr"/>
        <c:lblOffset val="100"/>
        <c:noMultiLvlLbl val="0"/>
      </c:catAx>
      <c:valAx>
        <c:axId val="167668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643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[Herramientas Tecnológicas para el Análisis de Datos y de Negocios. Luis De Zabala.xlsx]Tabla de ventas!TablaDinámica6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  <a:r>
              <a:rPr lang="en-US" baseline="0"/>
              <a:t> Vendida - Total de venta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de ventas'!$I$60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 de ventas'!$H$61:$H$64</c:f>
              <c:strCache>
                <c:ptCount val="3"/>
                <c:pt idx="0">
                  <c:v>1-3</c:v>
                </c:pt>
                <c:pt idx="1">
                  <c:v>4-6</c:v>
                </c:pt>
                <c:pt idx="2">
                  <c:v>7-10</c:v>
                </c:pt>
              </c:strCache>
            </c:strRef>
          </c:cat>
          <c:val>
            <c:numRef>
              <c:f>'Tabla de ventas'!$I$61:$I$64</c:f>
              <c:numCache>
                <c:formatCode>General</c:formatCode>
                <c:ptCount val="3"/>
                <c:pt idx="0">
                  <c:v>21810977</c:v>
                </c:pt>
                <c:pt idx="1">
                  <c:v>5338964</c:v>
                </c:pt>
                <c:pt idx="2">
                  <c:v>159475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F-6A4C-AEA1-5478854CD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83101823"/>
        <c:axId val="1683106751"/>
      </c:barChart>
      <c:catAx>
        <c:axId val="168310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3106751"/>
        <c:crosses val="autoZero"/>
        <c:auto val="1"/>
        <c:lblAlgn val="ctr"/>
        <c:lblOffset val="100"/>
        <c:noMultiLvlLbl val="0"/>
      </c:catAx>
      <c:valAx>
        <c:axId val="168310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310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[Herramientas Tecnológicas para el Análisis de Datos y de Negocios. Luis De Zabala.xlsx]Tabla de ventas!TablaDinámica11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Región y Total</a:t>
            </a:r>
            <a:r>
              <a:rPr lang="en-US" baseline="0"/>
              <a:t> de Venta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de ventas'!$F$87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'Tabla de ventas'!$E$88:$E$93</c:f>
              <c:strCache>
                <c:ptCount val="5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Oeste</c:v>
                </c:pt>
                <c:pt idx="4">
                  <c:v>Sur</c:v>
                </c:pt>
              </c:strCache>
            </c:strRef>
          </c:cat>
          <c:val>
            <c:numRef>
              <c:f>'Tabla de ventas'!$F$88:$F$93</c:f>
              <c:numCache>
                <c:formatCode>General</c:formatCode>
                <c:ptCount val="5"/>
                <c:pt idx="0">
                  <c:v>6500981</c:v>
                </c:pt>
                <c:pt idx="1">
                  <c:v>5106975</c:v>
                </c:pt>
                <c:pt idx="2">
                  <c:v>5678481</c:v>
                </c:pt>
                <c:pt idx="3">
                  <c:v>5059993</c:v>
                </c:pt>
                <c:pt idx="4">
                  <c:v>4962986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E-7E4A-90B8-03E676D5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87862591"/>
        <c:axId val="1684835391"/>
      </c:barChart>
      <c:catAx>
        <c:axId val="16878625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4835391"/>
        <c:crosses val="autoZero"/>
        <c:auto val="1"/>
        <c:lblAlgn val="ctr"/>
        <c:lblOffset val="100"/>
        <c:noMultiLvlLbl val="0"/>
      </c:catAx>
      <c:valAx>
        <c:axId val="16848353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86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[Herramientas Tecnológicas para el Análisis de Datos y de Negocios. Luis De Zabala.xlsx]Tabla de ventas!TablaDinámica10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Métodos de Pago y Total de 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17377333041703119"/>
          <c:w val="0.72549759405074365"/>
          <c:h val="0.531288641003207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'Tabla de ventas'!$F$60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'Tabla de ventas'!$E$61:$E$69</c:f>
              <c:multiLvlStrCache>
                <c:ptCount val="5"/>
                <c:lvl>
                  <c:pt idx="0">
                    <c:v>Efectivo</c:v>
                  </c:pt>
                  <c:pt idx="1">
                    <c:v>Paypal</c:v>
                  </c:pt>
                  <c:pt idx="2">
                    <c:v>Tarjeta de credito</c:v>
                  </c:pt>
                  <c:pt idx="3">
                    <c:v>Tarjeta de debito</c:v>
                  </c:pt>
                  <c:pt idx="4">
                    <c:v>Transferencia Bancaria</c:v>
                  </c:pt>
                </c:lvl>
                <c:lvl>
                  <c:pt idx="0">
                    <c:v>Efectivo</c:v>
                  </c:pt>
                  <c:pt idx="1">
                    <c:v>Pago por internet</c:v>
                  </c:pt>
                  <c:pt idx="2">
                    <c:v>Pagos bancarios</c:v>
                  </c:pt>
                </c:lvl>
              </c:multiLvlStrCache>
            </c:multiLvlStrRef>
          </c:cat>
          <c:val>
            <c:numRef>
              <c:f>'Tabla de ventas'!$F$61:$F$69</c:f>
              <c:numCache>
                <c:formatCode>General</c:formatCode>
                <c:ptCount val="5"/>
                <c:pt idx="0">
                  <c:v>5520981</c:v>
                </c:pt>
                <c:pt idx="1">
                  <c:v>5500993</c:v>
                </c:pt>
                <c:pt idx="2">
                  <c:v>4835492</c:v>
                </c:pt>
                <c:pt idx="3">
                  <c:v>4398978</c:v>
                </c:pt>
                <c:pt idx="4">
                  <c:v>7052972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3-B74F-8CD5-3A8D25DED8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6433983"/>
        <c:axId val="1676685119"/>
      </c:barChart>
      <c:catAx>
        <c:axId val="167643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6685119"/>
        <c:crosses val="autoZero"/>
        <c:auto val="1"/>
        <c:lblAlgn val="ctr"/>
        <c:lblOffset val="100"/>
        <c:noMultiLvlLbl val="0"/>
      </c:catAx>
      <c:valAx>
        <c:axId val="167668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643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Cajas y Bigotes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Cajas y Bigotes</a:t>
          </a:r>
        </a:p>
      </cx:txPr>
    </cx:title>
    <cx:plotArea>
      <cx:plotAreaRegion>
        <cx:plotSurface>
          <cx:spPr>
            <a:solidFill>
              <a:schemeClr val="accent4">
                <a:lumMod val="20000"/>
                <a:lumOff val="80000"/>
              </a:schemeClr>
            </a:solidFill>
          </cx:spPr>
        </cx:plotSurface>
        <cx:series layoutId="boxWhisker" uniqueId="{2641F676-17A7-9444-B58A-0851EEB07AE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solidFill>
      <a:schemeClr val="accent4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679740</xdr:colOff>
      <xdr:row>12</xdr:row>
      <xdr:rowOff>13854</xdr:rowOff>
    </xdr:from>
    <xdr:to>
      <xdr:col>14</xdr:col>
      <xdr:colOff>692728</xdr:colOff>
      <xdr:row>31</xdr:row>
      <xdr:rowOff>28863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E81D8C-B7A8-5734-F1D8-68E5C3434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116897</xdr:colOff>
      <xdr:row>0</xdr:row>
      <xdr:rowOff>86591</xdr:rowOff>
    </xdr:from>
    <xdr:to>
      <xdr:col>23</xdr:col>
      <xdr:colOff>101021</xdr:colOff>
      <xdr:row>19</xdr:row>
      <xdr:rowOff>116032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347717C-BB96-711A-F7BC-E8F41537DA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5797" y="86591"/>
              <a:ext cx="5762624" cy="38902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3</xdr:col>
      <xdr:colOff>457200</xdr:colOff>
      <xdr:row>21</xdr:row>
      <xdr:rowOff>50800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4A9C93-DFD7-485B-5690-EFC44C4E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5800" y="3454400"/>
          <a:ext cx="1701800" cy="86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736600</xdr:colOff>
      <xdr:row>7</xdr:row>
      <xdr:rowOff>114300</xdr:rowOff>
    </xdr:from>
    <xdr:to>
      <xdr:col>13</xdr:col>
      <xdr:colOff>812800</xdr:colOff>
      <xdr:row>23</xdr:row>
      <xdr:rowOff>6350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5FE54B36-B0FF-AF13-8792-1E62E3E34758}"/>
            </a:ext>
          </a:extLst>
        </xdr:cNvPr>
        <xdr:cNvGrpSpPr/>
      </xdr:nvGrpSpPr>
      <xdr:grpSpPr>
        <a:xfrm>
          <a:off x="7404100" y="1536700"/>
          <a:ext cx="4203700" cy="3143250"/>
          <a:chOff x="38100" y="1295400"/>
          <a:chExt cx="4203700" cy="314325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2D7FB30C-3569-6D99-23E7-D59452EA2B4F}"/>
              </a:ext>
            </a:extLst>
          </xdr:cNvPr>
          <xdr:cNvGraphicFramePr/>
        </xdr:nvGraphicFramePr>
        <xdr:xfrm>
          <a:off x="38100" y="1695450"/>
          <a:ext cx="41529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2:$2">
        <xdr:nvSpPr>
          <xdr:cNvPr id="4" name="CuadroTexto 3">
            <a:extLst>
              <a:ext uri="{FF2B5EF4-FFF2-40B4-BE49-F238E27FC236}">
                <a16:creationId xmlns:a16="http://schemas.microsoft.com/office/drawing/2014/main" id="{58CCD427-737B-5B81-3599-B35B9F0AC430}"/>
              </a:ext>
            </a:extLst>
          </xdr:cNvPr>
          <xdr:cNvSpPr txBox="1"/>
        </xdr:nvSpPr>
        <xdr:spPr>
          <a:xfrm>
            <a:off x="50800" y="1295400"/>
            <a:ext cx="41910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_tradnl" sz="1800" b="0" cap="none" spc="0">
                <a:ln w="0"/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Luis</a:t>
            </a:r>
          </a:p>
        </xdr:txBody>
      </xdr:sp>
    </xdr:grpSp>
    <xdr:clientData/>
  </xdr:twoCellAnchor>
  <xdr:twoCellAnchor>
    <xdr:from>
      <xdr:col>4</xdr:col>
      <xdr:colOff>533400</xdr:colOff>
      <xdr:row>8</xdr:row>
      <xdr:rowOff>107950</xdr:rowOff>
    </xdr:from>
    <xdr:to>
      <xdr:col>9</xdr:col>
      <xdr:colOff>558800</xdr:colOff>
      <xdr:row>22</xdr:row>
      <xdr:rowOff>6350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1C4F651-8B24-D056-CA5D-51D8D6BC6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546100</xdr:colOff>
      <xdr:row>6</xdr:row>
      <xdr:rowOff>114300</xdr:rowOff>
    </xdr:from>
    <xdr:to>
      <xdr:col>9</xdr:col>
      <xdr:colOff>609600</xdr:colOff>
      <xdr:row>8</xdr:row>
      <xdr:rowOff>165100</xdr:rowOff>
    </xdr:to>
    <xdr:sp macro="" textlink="$2:$2">
      <xdr:nvSpPr>
        <xdr:cNvPr id="9" name="CuadroTexto 8">
          <a:extLst>
            <a:ext uri="{FF2B5EF4-FFF2-40B4-BE49-F238E27FC236}">
              <a16:creationId xmlns:a16="http://schemas.microsoft.com/office/drawing/2014/main" id="{FB229257-C247-3F92-9751-2F93F87BA9DE}"/>
            </a:ext>
          </a:extLst>
        </xdr:cNvPr>
        <xdr:cNvSpPr txBox="1"/>
      </xdr:nvSpPr>
      <xdr:spPr>
        <a:xfrm>
          <a:off x="3911600" y="1333500"/>
          <a:ext cx="41910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800" b="0" cap="none" spc="0" baseline="0">
              <a:ln w="0"/>
              <a:solidFill>
                <a:schemeClr val="accent6">
                  <a:lumMod val="40000"/>
                  <a:lumOff val="6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Pablo</a:t>
          </a:r>
          <a:r>
            <a:rPr lang="es-ES_tradnl" sz="18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endParaRPr lang="es-ES_tradnl" sz="18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152400</xdr:colOff>
      <xdr:row>7</xdr:row>
      <xdr:rowOff>38100</xdr:rowOff>
    </xdr:from>
    <xdr:to>
      <xdr:col>5</xdr:col>
      <xdr:colOff>165100</xdr:colOff>
      <xdr:row>22</xdr:row>
      <xdr:rowOff>133350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B0FEB2EB-7C93-D24B-BD85-7CCA94F20372}"/>
            </a:ext>
          </a:extLst>
        </xdr:cNvPr>
        <xdr:cNvGrpSpPr/>
      </xdr:nvGrpSpPr>
      <xdr:grpSpPr>
        <a:xfrm>
          <a:off x="152400" y="1460500"/>
          <a:ext cx="4203700" cy="3143250"/>
          <a:chOff x="38100" y="1295400"/>
          <a:chExt cx="4203700" cy="3143250"/>
        </a:xfrm>
      </xdr:grpSpPr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8BAF75E8-24BE-EA1C-0960-7592880A4DEB}"/>
              </a:ext>
            </a:extLst>
          </xdr:cNvPr>
          <xdr:cNvGraphicFramePr/>
        </xdr:nvGraphicFramePr>
        <xdr:xfrm>
          <a:off x="38100" y="1695450"/>
          <a:ext cx="41529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2:$2">
        <xdr:nvSpPr>
          <xdr:cNvPr id="12" name="CuadroTexto 11">
            <a:extLst>
              <a:ext uri="{FF2B5EF4-FFF2-40B4-BE49-F238E27FC236}">
                <a16:creationId xmlns:a16="http://schemas.microsoft.com/office/drawing/2014/main" id="{9F87AECD-7917-9469-C283-835F952355E1}"/>
              </a:ext>
            </a:extLst>
          </xdr:cNvPr>
          <xdr:cNvSpPr txBox="1"/>
        </xdr:nvSpPr>
        <xdr:spPr>
          <a:xfrm>
            <a:off x="50800" y="1295400"/>
            <a:ext cx="41910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3633D5C-FB1F-2A49-B0CA-BF2A91B0DEF3}" type="TxLink">
              <a:rPr lang="en-US" sz="1800" b="0" i="0" u="none" strike="noStrike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Aptos Narrow"/>
              </a:rPr>
              <a:pPr algn="ctr"/>
              <a:t>Nicolas</a:t>
            </a:fld>
            <a:endParaRPr lang="es-ES_tradnl" sz="1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0.35833</cdr:x>
      <cdr:y>0.27083</cdr:y>
    </cdr:from>
    <cdr:to>
      <cdr:x>0.63889</cdr:x>
      <cdr:y>0.71528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9E374022-0A0F-45D5-52EE-D9E8E87F1E7A}"/>
            </a:ext>
          </a:extLst>
        </cdr:cNvPr>
        <cdr:cNvSpPr/>
      </cdr:nvSpPr>
      <cdr:spPr>
        <a:xfrm xmlns:a="http://schemas.openxmlformats.org/drawingml/2006/main">
          <a:off x="1638300" y="742950"/>
          <a:ext cx="1282700" cy="12192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s-ES_tradnl" sz="1600" b="1" kern="1200"/>
            <a:t>30,00%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0.35833</cdr:x>
      <cdr:y>0.27083</cdr:y>
    </cdr:from>
    <cdr:to>
      <cdr:x>0.63889</cdr:x>
      <cdr:y>0.71528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9E374022-0A0F-45D5-52EE-D9E8E87F1E7A}"/>
            </a:ext>
          </a:extLst>
        </cdr:cNvPr>
        <cdr:cNvSpPr/>
      </cdr:nvSpPr>
      <cdr:spPr>
        <a:xfrm xmlns:a="http://schemas.openxmlformats.org/drawingml/2006/main">
          <a:off x="1638300" y="742950"/>
          <a:ext cx="1282700" cy="12192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3">
            <a:lumMod val="20000"/>
            <a:lumOff val="8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s-ES_tradnl" sz="1600" b="1" kern="1200"/>
            <a:t> 55,00%</a:t>
          </a:r>
        </a:p>
        <a:p xmlns:a="http://schemas.openxmlformats.org/drawingml/2006/main">
          <a:pPr algn="ctr"/>
          <a:endParaRPr lang="es-ES_tradnl" sz="1600" b="1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0.35833</cdr:x>
      <cdr:y>0.27083</cdr:y>
    </cdr:from>
    <cdr:to>
      <cdr:x>0.63889</cdr:x>
      <cdr:y>0.71528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9E374022-0A0F-45D5-52EE-D9E8E87F1E7A}"/>
            </a:ext>
          </a:extLst>
        </cdr:cNvPr>
        <cdr:cNvSpPr/>
      </cdr:nvSpPr>
      <cdr:spPr>
        <a:xfrm xmlns:a="http://schemas.openxmlformats.org/drawingml/2006/main">
          <a:off x="1638300" y="742950"/>
          <a:ext cx="1282700" cy="1219200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s-ES_tradnl" sz="1600" b="1" kern="1200"/>
            <a:t>88,00%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9</xdr:row>
      <xdr:rowOff>63500</xdr:rowOff>
    </xdr:from>
    <xdr:to>
      <xdr:col>5</xdr:col>
      <xdr:colOff>457200</xdr:colOff>
      <xdr:row>22</xdr:row>
      <xdr:rowOff>165100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BD7EF89-A7ED-8FB1-B643-615294D70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419100</xdr:colOff>
      <xdr:row>15</xdr:row>
      <xdr:rowOff>114300</xdr:rowOff>
    </xdr:from>
    <xdr:to>
      <xdr:col>2</xdr:col>
      <xdr:colOff>63500</xdr:colOff>
      <xdr:row>16</xdr:row>
      <xdr:rowOff>114300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5891793D-DD14-8E6C-72F5-091E29A5312B}"/>
            </a:ext>
          </a:extLst>
        </xdr:cNvPr>
        <xdr:cNvSpPr txBox="1"/>
      </xdr:nvSpPr>
      <xdr:spPr>
        <a:xfrm>
          <a:off x="1244600" y="3162300"/>
          <a:ext cx="4699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900" b="1"/>
            <a:t>2026</a:t>
          </a:r>
        </a:p>
      </xdr:txBody>
    </xdr:sp>
    <xdr:clientData/>
  </xdr:twoCellAnchor>
  <xdr:twoCellAnchor>
    <xdr:from>
      <xdr:col>1</xdr:col>
      <xdr:colOff>673100</xdr:colOff>
      <xdr:row>15</xdr:row>
      <xdr:rowOff>114300</xdr:rowOff>
    </xdr:from>
    <xdr:to>
      <xdr:col>2</xdr:col>
      <xdr:colOff>317500</xdr:colOff>
      <xdr:row>16</xdr:row>
      <xdr:rowOff>114300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C038A6E-2188-A44E-8187-063957329158}"/>
            </a:ext>
          </a:extLst>
        </xdr:cNvPr>
        <xdr:cNvSpPr txBox="1"/>
      </xdr:nvSpPr>
      <xdr:spPr>
        <a:xfrm>
          <a:off x="1498600" y="3162300"/>
          <a:ext cx="4699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900" b="1"/>
            <a:t>2022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16764</xdr:colOff>
      <xdr:row>23</xdr:row>
      <xdr:rowOff>3736</xdr:rowOff>
    </xdr:from>
    <xdr:to>
      <xdr:col>28</xdr:col>
      <xdr:colOff>92964</xdr:colOff>
      <xdr:row>27</xdr:row>
      <xdr:rowOff>38100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Region o ubicación">
              <a:extLst>
                <a:ext uri="{FF2B5EF4-FFF2-40B4-BE49-F238E27FC236}">
                  <a16:creationId xmlns:a16="http://schemas.microsoft.com/office/drawing/2014/main" id="{8234794C-8872-C4A2-A70E-777A5251DC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o ubic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21164" y="4660900"/>
              <a:ext cx="3835400" cy="86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393700</xdr:colOff>
      <xdr:row>28</xdr:row>
      <xdr:rowOff>165100</xdr:rowOff>
    </xdr:from>
    <xdr:to>
      <xdr:col>19</xdr:col>
      <xdr:colOff>342900</xdr:colOff>
      <xdr:row>41</xdr:row>
      <xdr:rowOff>142872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Metodo de pago">
              <a:extLst>
                <a:ext uri="{FF2B5EF4-FFF2-40B4-BE49-F238E27FC236}">
                  <a16:creationId xmlns:a16="http://schemas.microsoft.com/office/drawing/2014/main" id="{FE64EE0A-3EEB-F9D9-A001-C47B1A63DA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odo de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48600" y="58547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16</xdr:col>
      <xdr:colOff>444500</xdr:colOff>
      <xdr:row>4</xdr:row>
      <xdr:rowOff>88900</xdr:rowOff>
    </xdr:from>
    <xdr:to>
      <xdr:col>20</xdr:col>
      <xdr:colOff>393700</xdr:colOff>
      <xdr:row>17</xdr:row>
      <xdr:rowOff>66672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Categoria del producto">
              <a:extLst>
                <a:ext uri="{FF2B5EF4-FFF2-40B4-BE49-F238E27FC236}">
                  <a16:creationId xmlns:a16="http://schemas.microsoft.com/office/drawing/2014/main" id="{13025472-7885-ADBD-3C97-EC8216CDFA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del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69300" y="9017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70</xdr:row>
      <xdr:rowOff>0</xdr:rowOff>
    </xdr:from>
    <xdr:to>
      <xdr:col>9</xdr:col>
      <xdr:colOff>603250</xdr:colOff>
      <xdr:row>83</xdr:row>
      <xdr:rowOff>101600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DBCF2988-7E23-A00A-FE8E-E5FB13B43811}"/>
            </a:ext>
          </a:extLst>
        </xdr:cNvPr>
        <xdr:cNvGrpSpPr/>
      </xdr:nvGrpSpPr>
      <xdr:grpSpPr>
        <a:xfrm>
          <a:off x="5486400" y="14224000"/>
          <a:ext cx="7867650" cy="2743200"/>
          <a:chOff x="5461000" y="14224000"/>
          <a:chExt cx="6978650" cy="27432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Metodo de pago2">
                <a:extLst>
                  <a:ext uri="{FF2B5EF4-FFF2-40B4-BE49-F238E27FC236}">
                    <a16:creationId xmlns:a16="http://schemas.microsoft.com/office/drawing/2014/main" id="{A9AE9FF8-D9FF-5CE7-ADFE-4502EC93E21C}"/>
                  </a:ext>
                </a:extLst>
              </xdr:cNvPr>
              <xdr:cNvGraphicFramePr/>
            </xdr:nvGraphicFramePr>
            <xdr:xfrm>
              <a:off x="5461000" y="14566900"/>
              <a:ext cx="1828800" cy="1333500"/>
            </xdr:xfrm>
            <a:graphic>
              <a:graphicData uri="http://schemas.microsoft.com/office/drawing/2010/slicer">
                <sle:slicer xmlns:sle="http://schemas.microsoft.com/office/drawing/2010/slicer" name="Metodo de pago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461000" y="14566900"/>
                <a:ext cx="2061768" cy="1333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ES_tradn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xdr:graphicFrame macro="">
        <xdr:nvGraphicFramePr>
          <xdr:cNvPr id="9" name="Gráfico Metodos - Total">
            <a:extLst>
              <a:ext uri="{FF2B5EF4-FFF2-40B4-BE49-F238E27FC236}">
                <a16:creationId xmlns:a16="http://schemas.microsoft.com/office/drawing/2014/main" id="{5E8CD06E-EC9C-500B-121C-B53F59EA72E1}"/>
              </a:ext>
            </a:extLst>
          </xdr:cNvPr>
          <xdr:cNvGraphicFramePr/>
        </xdr:nvGraphicFramePr>
        <xdr:xfrm>
          <a:off x="7867650" y="142240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9</xdr:col>
      <xdr:colOff>457200</xdr:colOff>
      <xdr:row>57</xdr:row>
      <xdr:rowOff>177800</xdr:rowOff>
    </xdr:from>
    <xdr:to>
      <xdr:col>14</xdr:col>
      <xdr:colOff>120650</xdr:colOff>
      <xdr:row>77</xdr:row>
      <xdr:rowOff>152400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9A8F9770-AC14-42DA-3822-971AFC082B65}"/>
            </a:ext>
          </a:extLst>
        </xdr:cNvPr>
        <xdr:cNvGrpSpPr/>
      </xdr:nvGrpSpPr>
      <xdr:grpSpPr>
        <a:xfrm>
          <a:off x="13208000" y="11760200"/>
          <a:ext cx="6623050" cy="4038600"/>
          <a:chOff x="13081000" y="11747500"/>
          <a:chExt cx="6623050" cy="40386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Cantidad vendida">
                <a:extLst>
                  <a:ext uri="{FF2B5EF4-FFF2-40B4-BE49-F238E27FC236}">
                    <a16:creationId xmlns:a16="http://schemas.microsoft.com/office/drawing/2014/main" id="{DC8925F7-5F46-3D52-5AF9-7FE482C53119}"/>
                  </a:ext>
                </a:extLst>
              </xdr:cNvPr>
              <xdr:cNvGraphicFramePr/>
            </xdr:nvGraphicFramePr>
            <xdr:xfrm>
              <a:off x="13081000" y="11747500"/>
              <a:ext cx="1816100" cy="2273300"/>
            </xdr:xfrm>
            <a:graphic>
              <a:graphicData uri="http://schemas.microsoft.com/office/drawing/2010/slicer">
                <sle:slicer xmlns:sle="http://schemas.microsoft.com/office/drawing/2010/slicer" name="Cantidad vendid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182600" y="11760200"/>
                <a:ext cx="1816100" cy="22733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ES_tradn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C34FC931-9630-2F79-A9D2-6613F865A113}"/>
              </a:ext>
            </a:extLst>
          </xdr:cNvPr>
          <xdr:cNvGraphicFramePr/>
        </xdr:nvGraphicFramePr>
        <xdr:xfrm>
          <a:off x="15132050" y="130429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4</xdr:col>
      <xdr:colOff>819150</xdr:colOff>
      <xdr:row>85</xdr:row>
      <xdr:rowOff>165100</xdr:rowOff>
    </xdr:from>
    <xdr:to>
      <xdr:col>8</xdr:col>
      <xdr:colOff>1422400</xdr:colOff>
      <xdr:row>113</xdr:row>
      <xdr:rowOff>139700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7B89ECA1-2CE9-8C85-3721-98E81397810D}"/>
            </a:ext>
          </a:extLst>
        </xdr:cNvPr>
        <xdr:cNvGrpSpPr/>
      </xdr:nvGrpSpPr>
      <xdr:grpSpPr>
        <a:xfrm>
          <a:off x="6305550" y="17437100"/>
          <a:ext cx="6360583" cy="5664200"/>
          <a:chOff x="6280150" y="17437100"/>
          <a:chExt cx="6356350" cy="56642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1" name="Total de venta">
                <a:extLst>
                  <a:ext uri="{FF2B5EF4-FFF2-40B4-BE49-F238E27FC236}">
                    <a16:creationId xmlns:a16="http://schemas.microsoft.com/office/drawing/2014/main" id="{34A25FBB-AD9F-B8E5-D3BD-83E8125C0056}"/>
                  </a:ext>
                </a:extLst>
              </xdr:cNvPr>
              <xdr:cNvGraphicFramePr/>
            </xdr:nvGraphicFramePr>
            <xdr:xfrm>
              <a:off x="8890000" y="17449800"/>
              <a:ext cx="1828800" cy="2619372"/>
            </xdr:xfrm>
            <a:graphic>
              <a:graphicData uri="http://schemas.microsoft.com/office/drawing/2010/slicer">
                <sle:slicer xmlns:sle="http://schemas.microsoft.com/office/drawing/2010/slicer" name="Total de vent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890000" y="17449800"/>
                <a:ext cx="1828800" cy="26193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ES_tradn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2" name="Region o ubicación 1">
                <a:extLst>
                  <a:ext uri="{FF2B5EF4-FFF2-40B4-BE49-F238E27FC236}">
                    <a16:creationId xmlns:a16="http://schemas.microsoft.com/office/drawing/2014/main" id="{5D4CB687-4D6B-48BF-1F5C-435B2C655CFF}"/>
                  </a:ext>
                </a:extLst>
              </xdr:cNvPr>
              <xdr:cNvGraphicFramePr/>
            </xdr:nvGraphicFramePr>
            <xdr:xfrm>
              <a:off x="10807700" y="17437100"/>
              <a:ext cx="1828800" cy="2619372"/>
            </xdr:xfrm>
            <a:graphic>
              <a:graphicData uri="http://schemas.microsoft.com/office/drawing/2010/slicer">
                <sle:slicer xmlns:sle="http://schemas.microsoft.com/office/drawing/2010/slicer" name="Region o ubicación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807700" y="17437100"/>
                <a:ext cx="1828800" cy="26193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ES_tradn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xdr:graphicFrame macro="">
        <xdr:nvGraphicFramePr>
          <xdr:cNvPr id="13" name="Región y Total de Venta">
            <a:extLst>
              <a:ext uri="{FF2B5EF4-FFF2-40B4-BE49-F238E27FC236}">
                <a16:creationId xmlns:a16="http://schemas.microsoft.com/office/drawing/2014/main" id="{B35256BE-5CD2-3926-17F0-4A0B84C516C6}"/>
              </a:ext>
            </a:extLst>
          </xdr:cNvPr>
          <xdr:cNvGraphicFramePr/>
        </xdr:nvGraphicFramePr>
        <xdr:xfrm>
          <a:off x="6280150" y="20358100"/>
          <a:ext cx="5461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774700</xdr:colOff>
      <xdr:row>3</xdr:row>
      <xdr:rowOff>12700</xdr:rowOff>
    </xdr:from>
    <xdr:to>
      <xdr:col>15</xdr:col>
      <xdr:colOff>660400</xdr:colOff>
      <xdr:row>13</xdr:row>
      <xdr:rowOff>12700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306793EC-CC23-E0AA-D585-9D213E1131B9}"/>
            </a:ext>
          </a:extLst>
        </xdr:cNvPr>
        <xdr:cNvSpPr/>
      </xdr:nvSpPr>
      <xdr:spPr>
        <a:xfrm>
          <a:off x="3251200" y="622300"/>
          <a:ext cx="9791700" cy="2032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_tradnl" sz="3600"/>
            <a:t>TABLERO</a:t>
          </a:r>
          <a:r>
            <a:rPr lang="es-ES_tradnl" sz="3600" baseline="0"/>
            <a:t> DE CONTROL</a:t>
          </a:r>
          <a:endParaRPr lang="es-ES_tradnl" sz="3600"/>
        </a:p>
      </xdr:txBody>
    </xdr:sp>
    <xdr:clientData/>
  </xdr:twoCellAnchor>
  <xdr:twoCellAnchor>
    <xdr:from>
      <xdr:col>0</xdr:col>
      <xdr:colOff>190500</xdr:colOff>
      <xdr:row>7</xdr:row>
      <xdr:rowOff>38100</xdr:rowOff>
    </xdr:from>
    <xdr:to>
      <xdr:col>4</xdr:col>
      <xdr:colOff>304800</xdr:colOff>
      <xdr:row>14</xdr:row>
      <xdr:rowOff>127000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22DE96B-3501-87D5-6C47-5B3FBF9CF13C}"/>
            </a:ext>
          </a:extLst>
        </xdr:cNvPr>
        <xdr:cNvSpPr txBox="1"/>
      </xdr:nvSpPr>
      <xdr:spPr>
        <a:xfrm>
          <a:off x="190500" y="1460500"/>
          <a:ext cx="3416300" cy="151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400">
              <a:solidFill>
                <a:schemeClr val="bg1"/>
              </a:solidFill>
            </a:rPr>
            <a:t>FILTROS</a:t>
          </a:r>
        </a:p>
      </xdr:txBody>
    </xdr:sp>
    <xdr:clientData/>
  </xdr:twoCellAnchor>
  <xdr:twoCellAnchor>
    <xdr:from>
      <xdr:col>3</xdr:col>
      <xdr:colOff>787400</xdr:colOff>
      <xdr:row>11</xdr:row>
      <xdr:rowOff>114300</xdr:rowOff>
    </xdr:from>
    <xdr:to>
      <xdr:col>15</xdr:col>
      <xdr:colOff>596900</xdr:colOff>
      <xdr:row>32</xdr:row>
      <xdr:rowOff>50800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9E126719-1F6E-4E51-239E-7D26DB8D93DB}"/>
            </a:ext>
          </a:extLst>
        </xdr:cNvPr>
        <xdr:cNvSpPr/>
      </xdr:nvSpPr>
      <xdr:spPr>
        <a:xfrm>
          <a:off x="3263900" y="2349500"/>
          <a:ext cx="9715500" cy="4203700"/>
        </a:xfrm>
        <a:prstGeom prst="roundRect">
          <a:avLst/>
        </a:prstGeom>
        <a:solidFill>
          <a:schemeClr val="bg1"/>
        </a:solidFill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</xdr:col>
      <xdr:colOff>165100</xdr:colOff>
      <xdr:row>13</xdr:row>
      <xdr:rowOff>38100</xdr:rowOff>
    </xdr:from>
    <xdr:to>
      <xdr:col>3</xdr:col>
      <xdr:colOff>342900</xdr:colOff>
      <xdr:row>19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todo de pago2 1">
              <a:extLst>
                <a:ext uri="{FF2B5EF4-FFF2-40B4-BE49-F238E27FC236}">
                  <a16:creationId xmlns:a16="http://schemas.microsoft.com/office/drawing/2014/main" id="{380156A8-82CD-4481-5586-D96F1211E0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odo de pago2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" y="2679700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692150</xdr:colOff>
      <xdr:row>14</xdr:row>
      <xdr:rowOff>63500</xdr:rowOff>
    </xdr:from>
    <xdr:to>
      <xdr:col>12</xdr:col>
      <xdr:colOff>647700</xdr:colOff>
      <xdr:row>29</xdr:row>
      <xdr:rowOff>165100</xdr:rowOff>
    </xdr:to>
    <xdr:graphicFrame macro="">
      <xdr:nvGraphicFramePr>
        <xdr:cNvPr id="7" name="Gráfico Metodos - Total">
          <a:extLst>
            <a:ext uri="{FF2B5EF4-FFF2-40B4-BE49-F238E27FC236}">
              <a16:creationId xmlns:a16="http://schemas.microsoft.com/office/drawing/2014/main" id="{E3F87EFD-CA02-21E6-193E-C8519F970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71.474283564814" createdVersion="8" refreshedVersion="8" minRefreshableVersion="3" recordCount="35" xr:uid="{66BF8E41-0EEC-F346-9D0D-D5CCF5D801BF}">
  <cacheSource type="worksheet">
    <worksheetSource ref="A1:N56" sheet="Tabla de ventas"/>
  </cacheSource>
  <cacheFields count="14">
    <cacheField name="Fecha de venta" numFmtId="14">
      <sharedItems containsSemiMixedTypes="0" containsNonDate="0" containsDate="1" containsString="0" minDate="2023-09-01T00:00:00" maxDate="2023-10-07T00:00:00"/>
    </cacheField>
    <cacheField name="ID  del producto " numFmtId="0">
      <sharedItems count="34">
        <s v="PROD002"/>
        <s v="PROD001"/>
        <s v="PROD003"/>
        <s v="PROD005"/>
        <s v="PROD006"/>
        <s v="PROD007"/>
        <s v="PROD008"/>
        <s v="PROD009"/>
        <s v="PROD010"/>
        <s v="PROD011"/>
        <s v="PROD012"/>
        <s v="PROD013"/>
        <s v="PROD014"/>
        <s v="PROD015"/>
        <s v="PROD016"/>
        <s v="PROD017"/>
        <s v="PROD018"/>
        <s v="PROD019"/>
        <s v="PROD020"/>
        <s v="PROD021"/>
        <s v="PROD022"/>
        <s v="PROD023"/>
        <s v="PROD024"/>
        <s v="PROD025"/>
        <s v="PROD026"/>
        <s v="PROD027"/>
        <s v="PROD028"/>
        <s v="PROD029"/>
        <s v="PROD030"/>
        <s v="PROD031"/>
        <s v="PROD032"/>
        <s v="PROD033"/>
        <s v="PROD034"/>
        <s v="PROD035"/>
      </sharedItems>
    </cacheField>
    <cacheField name="Nombre del producto" numFmtId="0">
      <sharedItems/>
    </cacheField>
    <cacheField name="Cantidac vendida" numFmtId="0">
      <sharedItems containsSemiMixedTypes="0" containsString="0" containsNumber="1" containsInteger="1" minValue="1" maxValue="10"/>
    </cacheField>
    <cacheField name="Precio unitario" numFmtId="166">
      <sharedItems containsSemiMixedTypes="0" containsString="0" containsNumber="1" containsInteger="1" minValue="1599" maxValue="450000"/>
    </cacheField>
    <cacheField name="Total de venta" numFmtId="0">
      <sharedItems containsSemiMixedTypes="0" containsString="0" containsNumber="1" containsInteger="1" minValue="7999" maxValue="450000"/>
    </cacheField>
    <cacheField name="ID del cliente" numFmtId="0">
      <sharedItems/>
    </cacheField>
    <cacheField name="Nombre del cliente" numFmtId="0">
      <sharedItems/>
    </cacheField>
    <cacheField name="Region o ubicación" numFmtId="0">
      <sharedItems count="5">
        <s v="Sur"/>
        <s v="Norte"/>
        <s v="Este"/>
        <s v="Centro"/>
        <s v="Oeste"/>
      </sharedItems>
    </cacheField>
    <cacheField name="Metodo de pago" numFmtId="0">
      <sharedItems/>
    </cacheField>
    <cacheField name="Vendedor" numFmtId="0">
      <sharedItems/>
    </cacheField>
    <cacheField name="Categoria del producto" numFmtId="0">
      <sharedItems/>
    </cacheField>
    <cacheField name="Costo del producto" numFmtId="164">
      <sharedItems containsSemiMixedTypes="0" containsString="0" containsNumber="1" containsInteger="1" minValue="1000" maxValue="320000"/>
    </cacheField>
    <cacheField name="Margen de benefic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72.374141666667" createdVersion="8" refreshedVersion="8" minRefreshableVersion="3" recordCount="55" xr:uid="{6C1B2A9E-063B-544C-9CC2-9DEEA47DFE42}">
  <cacheSource type="worksheet">
    <worksheetSource name="Tabla13[[Fecha de venta]:[Costo del producto]]"/>
  </cacheSource>
  <cacheFields count="13">
    <cacheField name="Fecha de venta" numFmtId="14">
      <sharedItems containsSemiMixedTypes="0" containsNonDate="0" containsDate="1" containsString="0" minDate="2023-09-01T00:00:00" maxDate="2023-10-27T00:00:00"/>
    </cacheField>
    <cacheField name="ID  del producto " numFmtId="0">
      <sharedItems/>
    </cacheField>
    <cacheField name="Nombre del producto" numFmtId="0">
      <sharedItems/>
    </cacheField>
    <cacheField name="Cantidad vendida" numFmtId="0">
      <sharedItems containsSemiMixedTypes="0" containsString="0" containsNumber="1" containsInteger="1" minValue="1" maxValue="10" count="9">
        <n v="3"/>
        <n v="2"/>
        <n v="5"/>
        <n v="10"/>
        <n v="1"/>
        <n v="4"/>
        <n v="6"/>
        <n v="7"/>
        <n v="8"/>
      </sharedItems>
      <fieldGroup base="3">
        <rangePr startNum="1" endNum="10" groupInterval="3"/>
        <groupItems count="5">
          <s v="&lt;1"/>
          <s v="1-3"/>
          <s v="4-6"/>
          <s v="7-10"/>
          <s v="&gt;10"/>
        </groupItems>
      </fieldGroup>
    </cacheField>
    <cacheField name="Precio unitario" numFmtId="166">
      <sharedItems containsSemiMixedTypes="0" containsString="0" containsNumber="1" containsInteger="1" minValue="1599" maxValue="1500000"/>
    </cacheField>
    <cacheField name="Total de venta" numFmtId="0">
      <sharedItems containsSemiMixedTypes="0" containsString="0" containsNumber="1" containsInteger="1" minValue="7999" maxValue="2400000"/>
    </cacheField>
    <cacheField name="ID del cliente" numFmtId="0">
      <sharedItems/>
    </cacheField>
    <cacheField name="Nombre del cliente" numFmtId="0">
      <sharedItems/>
    </cacheField>
    <cacheField name="Region o ubicación" numFmtId="0">
      <sharedItems/>
    </cacheField>
    <cacheField name="Metodo de pago" numFmtId="0">
      <sharedItems/>
    </cacheField>
    <cacheField name="Vendedor" numFmtId="0">
      <sharedItems/>
    </cacheField>
    <cacheField name="Categoria del producto" numFmtId="0">
      <sharedItems/>
    </cacheField>
    <cacheField name="Costo del producto" numFmtId="164">
      <sharedItems containsSemiMixedTypes="0" containsString="0" containsNumber="1" containsInteger="1" minValue="1000" maxValue="1200000"/>
    </cacheField>
  </cacheFields>
  <extLst>
    <ext xmlns:x14="http://schemas.microsoft.com/office/spreadsheetml/2009/9/main" uri="{725AE2AE-9491-48be-B2B4-4EB974FC3084}">
      <x14:pivotCacheDefinition pivotCacheId="151237631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72.389624189818" createdVersion="8" refreshedVersion="8" minRefreshableVersion="3" recordCount="55" xr:uid="{318BECAA-84D7-AB45-8C8C-029F27D82585}">
  <cacheSource type="worksheet">
    <worksheetSource name="Tabla13"/>
  </cacheSource>
  <cacheFields count="15">
    <cacheField name="Fecha de venta" numFmtId="14">
      <sharedItems containsSemiMixedTypes="0" containsNonDate="0" containsDate="1" containsString="0" minDate="2023-09-01T00:00:00" maxDate="2023-10-27T00:00:00"/>
    </cacheField>
    <cacheField name="ID  del producto " numFmtId="0">
      <sharedItems count="54">
        <s v="PROD002"/>
        <s v="PROD001"/>
        <s v="PROD003"/>
        <s v="PROD005"/>
        <s v="PROD006"/>
        <s v="PROD007"/>
        <s v="PROD008"/>
        <s v="PROD009"/>
        <s v="PROD010"/>
        <s v="PROD011"/>
        <s v="PROD012"/>
        <s v="PROD013"/>
        <s v="PROD014"/>
        <s v="PROD015"/>
        <s v="PROD016"/>
        <s v="PROD017"/>
        <s v="PROD018"/>
        <s v="PROD019"/>
        <s v="PROD020"/>
        <s v="PROD021"/>
        <s v="PROD022"/>
        <s v="PROD023"/>
        <s v="PROD024"/>
        <s v="PROD025"/>
        <s v="PROD026"/>
        <s v="PROD027"/>
        <s v="PROD028"/>
        <s v="PROD029"/>
        <s v="PROD030"/>
        <s v="PROD031"/>
        <s v="PROD032"/>
        <s v="PROD033"/>
        <s v="PROD034"/>
        <s v="PROD035"/>
        <s v="PROD036"/>
        <s v="PROD037"/>
        <s v="PROD038"/>
        <s v="PROD039"/>
        <s v="PROD040"/>
        <s v="PROD041"/>
        <s v="PROD042"/>
        <s v="PROD043"/>
        <s v="PROD044"/>
        <s v="PROD045"/>
        <s v="PROD046"/>
        <s v="PROD047"/>
        <s v="PROD048"/>
        <s v="PROD049"/>
        <s v="PROD050"/>
        <s v="PROD051"/>
        <s v="PROD052"/>
        <s v="PROD053"/>
        <s v="PROD054"/>
        <s v="PROD055"/>
      </sharedItems>
    </cacheField>
    <cacheField name="Nombre del producto" numFmtId="0">
      <sharedItems/>
    </cacheField>
    <cacheField name="Cantidad vendida" numFmtId="0">
      <sharedItems containsSemiMixedTypes="0" containsString="0" containsNumber="1" containsInteger="1" minValue="1" maxValue="10"/>
    </cacheField>
    <cacheField name="Precio unitario" numFmtId="166">
      <sharedItems containsSemiMixedTypes="0" containsString="0" containsNumber="1" containsInteger="1" minValue="1599" maxValue="1500000"/>
    </cacheField>
    <cacheField name="Total de venta" numFmtId="0">
      <sharedItems containsSemiMixedTypes="0" containsString="0" containsNumber="1" containsInteger="1" minValue="7999" maxValue="2400000" count="51">
        <n v="269997"/>
        <n v="259998"/>
        <n v="64995"/>
        <n v="15990"/>
        <n v="7999"/>
        <n v="183996"/>
        <n v="119994"/>
        <n v="171000"/>
        <n v="49995"/>
        <n v="197997"/>
        <n v="59500"/>
        <n v="45998"/>
        <n v="55992"/>
        <n v="58000"/>
        <n v="54999"/>
        <n v="179000"/>
        <n v="74997"/>
        <n v="120000"/>
        <n v="75996"/>
        <n v="110000"/>
        <n v="62500"/>
        <n v="29994"/>
        <n v="119997"/>
        <n v="95000"/>
        <n v="300000"/>
        <n v="27993"/>
        <n v="450000"/>
        <n v="114000"/>
        <n v="239997"/>
        <n v="69998"/>
        <n v="47500"/>
        <n v="101994"/>
        <n v="84000"/>
        <n v="320000"/>
        <n v="640000"/>
        <n v="1120000"/>
        <n v="900000"/>
        <n v="1170000"/>
        <n v="1040000"/>
        <n v="570000"/>
        <n v="1000000"/>
        <n v="1200000"/>
        <n v="1500000"/>
        <n v="1960000"/>
        <n v="1260000"/>
        <n v="840000"/>
        <n v="890000"/>
        <n v="1340000"/>
        <n v="1050000"/>
        <n v="2400000"/>
        <n v="1230000"/>
      </sharedItems>
    </cacheField>
    <cacheField name="ID del cliente" numFmtId="0">
      <sharedItems count="55">
        <s v="CLI002"/>
        <s v="CLI001"/>
        <s v="CLI003"/>
        <s v="CLI005"/>
        <s v="CLI004"/>
        <s v="CLI006"/>
        <s v="CLI007"/>
        <s v="CLI008"/>
        <s v="CLI009"/>
        <s v="CLI010"/>
        <s v="CLI011"/>
        <s v="CLI012"/>
        <s v="CLI013"/>
        <s v="CLI014"/>
        <s v="CLI015"/>
        <s v="CLI016"/>
        <s v="CLI017"/>
        <s v="CLI018"/>
        <s v="CLI019"/>
        <s v="CLI020"/>
        <s v="CLI021"/>
        <s v="CLI022"/>
        <s v="CLI023"/>
        <s v="CLI024"/>
        <s v="CLI025"/>
        <s v="CLI026"/>
        <s v="CLI027"/>
        <s v="CLI028"/>
        <s v="CLI029"/>
        <s v="CLI030"/>
        <s v="CLI031"/>
        <s v="CLI032"/>
        <s v="CLI033"/>
        <s v="CLI034"/>
        <s v="CLI035"/>
        <s v="CLI036"/>
        <s v="CLI037"/>
        <s v="CLI038"/>
        <s v="CLI039"/>
        <s v="CLI040"/>
        <s v="CLI041"/>
        <s v="CLI042"/>
        <s v="CLI043"/>
        <s v="CLI044"/>
        <s v="CLI045"/>
        <s v="CLI046"/>
        <s v="CLI047"/>
        <s v="CLI048"/>
        <s v="CLI049"/>
        <s v="CLI050"/>
        <s v="CLI051"/>
        <s v="CLI052"/>
        <s v="CLI053"/>
        <s v="CLI054"/>
        <s v="CLI055"/>
      </sharedItems>
    </cacheField>
    <cacheField name="Nombre del cliente" numFmtId="0">
      <sharedItems/>
    </cacheField>
    <cacheField name="Region o ubicación" numFmtId="0">
      <sharedItems count="5">
        <s v="Sur"/>
        <s v="Norte"/>
        <s v="Este"/>
        <s v="Centro"/>
        <s v="Oeste"/>
      </sharedItems>
    </cacheField>
    <cacheField name="Metodo de pago" numFmtId="0">
      <sharedItems count="5">
        <s v="Efectivo"/>
        <s v="Tarjeta de credito"/>
        <s v="Transferencia Bancaria"/>
        <s v="Tarjeta de debito"/>
        <s v="Paypal"/>
      </sharedItems>
      <fieldGroup par="14"/>
    </cacheField>
    <cacheField name="Vendedor" numFmtId="0">
      <sharedItems count="3">
        <s v="VEND002"/>
        <s v="VEND001"/>
        <s v="VEND003"/>
      </sharedItems>
    </cacheField>
    <cacheField name="Categoria del producto" numFmtId="0">
      <sharedItems/>
    </cacheField>
    <cacheField name="Costo del producto" numFmtId="164">
      <sharedItems containsSemiMixedTypes="0" containsString="0" containsNumber="1" containsInteger="1" minValue="1000" maxValue="1200000"/>
    </cacheField>
    <cacheField name="Margen de beneficio" numFmtId="0">
      <sharedItems containsNonDate="0" containsString="0" containsBlank="1"/>
    </cacheField>
    <cacheField name="Metodo de pago2" numFmtId="0" databaseField="0">
      <fieldGroup base="9">
        <discretePr count="5">
          <x v="0"/>
          <x v="2"/>
          <x v="2"/>
          <x v="2"/>
          <x v="1"/>
        </discretePr>
        <groupItems count="3">
          <s v="Efectivo"/>
          <s v="Paypal"/>
          <s v="Grupo1"/>
        </groupItems>
      </fieldGroup>
    </cacheField>
  </cacheFields>
  <extLst>
    <ext xmlns:x14="http://schemas.microsoft.com/office/spreadsheetml/2009/9/main" uri="{725AE2AE-9491-48be-B2B4-4EB974FC3084}">
      <x14:pivotCacheDefinition pivotCacheId="12167361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d v="2023-09-02T00:00:00"/>
    <x v="0"/>
    <s v="Smartphone samsung Galaxy"/>
    <n v="3"/>
    <n v="89999"/>
    <n v="269997"/>
    <s v="CLI002"/>
    <s v="Maria Garcia"/>
    <x v="0"/>
    <s v="Efectivo"/>
    <s v="VEND002"/>
    <s v="Electronicos"/>
    <n v="70000"/>
    <m/>
  </r>
  <r>
    <d v="2023-09-01T00:00:00"/>
    <x v="1"/>
    <s v="Laptop Dell XPS"/>
    <n v="2"/>
    <n v="129999"/>
    <n v="259998"/>
    <s v="CLI001"/>
    <s v="Juan Perez"/>
    <x v="1"/>
    <s v="Tarjeta de credito"/>
    <s v="VEND001"/>
    <s v="Electronicos"/>
    <n v="100000"/>
    <m/>
  </r>
  <r>
    <d v="2023-09-03T00:00:00"/>
    <x v="2"/>
    <s v="Zapatilla Nike Air Max"/>
    <n v="5"/>
    <n v="12999"/>
    <n v="64995"/>
    <s v="CLI003"/>
    <s v="Carlos Rodriguez"/>
    <x v="2"/>
    <s v="Transferencia Bancaria"/>
    <s v="VEND003"/>
    <s v="Ropa y calzado"/>
    <n v="8000"/>
    <m/>
  </r>
  <r>
    <d v="2023-09-05T00:00:00"/>
    <x v="3"/>
    <s v="Libro &quot;Cien anños de soledad"/>
    <n v="10"/>
    <n v="1599"/>
    <n v="15990"/>
    <s v="CLI005"/>
    <s v="Pedro Sanchez"/>
    <x v="3"/>
    <s v="Tarjeta de debito"/>
    <s v="VEND002"/>
    <s v="Libros"/>
    <n v="1000"/>
    <m/>
  </r>
  <r>
    <d v="2023-09-04T00:00:00"/>
    <x v="3"/>
    <s v="Licuadora oster"/>
    <n v="1"/>
    <n v="7999"/>
    <n v="7999"/>
    <s v="CLI004"/>
    <s v="Ana Martinez"/>
    <x v="4"/>
    <s v="Paypal"/>
    <s v="VEND001"/>
    <s v="Electrodomesticos"/>
    <n v="5000"/>
    <m/>
  </r>
  <r>
    <d v="2023-09-07T00:00:00"/>
    <x v="4"/>
    <s v="Tablet Samsung Galaxy Tab"/>
    <n v="4"/>
    <n v="45999"/>
    <n v="183996"/>
    <s v="CLI006"/>
    <s v="Luis Fernandez"/>
    <x v="0"/>
    <s v="Tarjeta de credito"/>
    <s v="VEND003"/>
    <s v="Electronicos"/>
    <n v="30000"/>
    <m/>
  </r>
  <r>
    <d v="2023-09-08T00:00:00"/>
    <x v="5"/>
    <s v="Audifonos Sony WH-1000XM4"/>
    <n v="6"/>
    <n v="19999"/>
    <n v="119994"/>
    <s v="CLI007"/>
    <s v="Camila Torres"/>
    <x v="1"/>
    <s v="Transferencia Bancaria"/>
    <s v="VEND001"/>
    <s v="Electronicos"/>
    <n v="12000"/>
    <m/>
  </r>
  <r>
    <d v="2023-09-09T00:00:00"/>
    <x v="6"/>
    <s v="Silla ergonomica oficina"/>
    <n v="2"/>
    <n v="85500"/>
    <n v="171000"/>
    <s v="CLI008"/>
    <s v="Jorge Ramirez"/>
    <x v="3"/>
    <s v="Efectivo"/>
    <s v="VEND002"/>
    <s v="Muebles"/>
    <n v="50000"/>
    <m/>
  </r>
  <r>
    <d v="2023-09-10T00:00:00"/>
    <x v="7"/>
    <s v="Mouse Logitech MX Master"/>
    <n v="5"/>
    <n v="9999"/>
    <n v="49995"/>
    <s v="CLI009"/>
    <s v="Andrea Lopez"/>
    <x v="2"/>
    <s v="Tarjeta de debito"/>
    <s v="VEND003"/>
    <s v="Accesorios"/>
    <n v="4000"/>
    <m/>
  </r>
  <r>
    <d v="2023-09-11T00:00:00"/>
    <x v="8"/>
    <s v="Monitor LG 27 pulgadas"/>
    <n v="3"/>
    <n v="65999"/>
    <n v="197997"/>
    <s v="CLI010"/>
    <s v="Diego Morales"/>
    <x v="4"/>
    <s v="Paypal"/>
    <s v="VEND001"/>
    <s v="Electronicos"/>
    <n v="40000"/>
    <m/>
  </r>
  <r>
    <d v="2023-09-12T00:00:00"/>
    <x v="9"/>
    <s v="Teclado mecanico Redragon"/>
    <n v="7"/>
    <n v="8500"/>
    <n v="59500"/>
    <s v="CLI011"/>
    <s v="Sofia Herrera"/>
    <x v="0"/>
    <s v="Efectivo"/>
    <s v="VEND002"/>
    <s v="Accesorios"/>
    <n v="3500"/>
    <m/>
  </r>
  <r>
    <d v="2023-09-13T00:00:00"/>
    <x v="10"/>
    <s v="Cafetera Oster 12 tazas"/>
    <n v="2"/>
    <n v="22999"/>
    <n v="45998"/>
    <s v="CLI012"/>
    <s v="Miguel Castro"/>
    <x v="1"/>
    <s v="Tarjeta de credito"/>
    <s v="VEND003"/>
    <s v="Electrodomesticos"/>
    <n v="15000"/>
    <m/>
  </r>
  <r>
    <d v="2023-09-14T00:00:00"/>
    <x v="11"/>
    <s v="Smartwatch Xiaomi Band 8"/>
    <n v="8"/>
    <n v="6999"/>
    <n v="55992"/>
    <s v="CLI013"/>
    <s v="Valeria Rojas"/>
    <x v="2"/>
    <s v="Transferencia Bancaria"/>
    <s v="VEND001"/>
    <s v="Electronicos"/>
    <n v="2500"/>
    <m/>
  </r>
  <r>
    <d v="2023-09-15T00:00:00"/>
    <x v="12"/>
    <s v="Mochila escolar Adidas"/>
    <n v="4"/>
    <n v="14500"/>
    <n v="58000"/>
    <s v="CLI014"/>
    <s v="Ricardo Vega"/>
    <x v="3"/>
    <s v="Tarjeta de debito"/>
    <s v="VEND002"/>
    <s v="Ropa y calzado"/>
    <n v="7000"/>
    <m/>
  </r>
  <r>
    <d v="2023-09-16T00:00:00"/>
    <x v="13"/>
    <s v="Impresora HP DeskJet"/>
    <n v="1"/>
    <n v="54999"/>
    <n v="54999"/>
    <s v="CLI015"/>
    <s v="Elena Navarro"/>
    <x v="4"/>
    <s v="Paypal"/>
    <s v="VEND003"/>
    <s v="Electronicos"/>
    <n v="35000"/>
    <m/>
  </r>
  <r>
    <d v="2023-09-17T00:00:00"/>
    <x v="14"/>
    <s v="Camara Canon EOS M50"/>
    <n v="2"/>
    <n v="89500"/>
    <n v="179000"/>
    <s v="CLI016"/>
    <s v="Pablo Gutierrez"/>
    <x v="0"/>
    <s v="Tarjeta de credito"/>
    <s v="VEND001"/>
    <s v="Electronicos"/>
    <n v="60000"/>
    <m/>
  </r>
  <r>
    <d v="2023-09-18T00:00:00"/>
    <x v="15"/>
    <s v="Altavoz JBL Charge 5"/>
    <n v="3"/>
    <n v="24999"/>
    <n v="74997"/>
    <s v="CLI017"/>
    <s v="Laura Medina"/>
    <x v="1"/>
    <s v="Efectivo"/>
    <s v="VEND002"/>
    <s v="Electronicos"/>
    <n v="15000"/>
    <m/>
  </r>
  <r>
    <d v="2023-09-19T00:00:00"/>
    <x v="16"/>
    <s v="Mesa de escritorio madera"/>
    <n v="1"/>
    <n v="120000"/>
    <n v="120000"/>
    <s v="CLI018"/>
    <s v="Raul Paredes"/>
    <x v="3"/>
    <s v="Transferencia Bancaria"/>
    <s v="VEND003"/>
    <s v="Muebles"/>
    <n v="80000"/>
    <m/>
  </r>
  <r>
    <d v="2023-09-20T00:00:00"/>
    <x v="17"/>
    <s v="Zapatillas Adidas Runfalcon"/>
    <n v="4"/>
    <n v="18999"/>
    <n v="75996"/>
    <s v="CLI019"/>
    <s v="Daniela Soto"/>
    <x v="2"/>
    <s v="Tarjeta de debito"/>
    <s v="VEND002"/>
    <s v="Ropa y calzado"/>
    <n v="9000"/>
    <m/>
  </r>
  <r>
    <d v="2023-09-21T00:00:00"/>
    <x v="18"/>
    <s v="Horno microondas Samsung"/>
    <n v="2"/>
    <n v="55000"/>
    <n v="110000"/>
    <s v="CLI020"/>
    <s v="Cesar Vargas"/>
    <x v="4"/>
    <s v="Paypal"/>
    <s v="VEND001"/>
    <s v="Electrodomesticos"/>
    <n v="35000"/>
    <m/>
  </r>
  <r>
    <d v="2023-09-22T00:00:00"/>
    <x v="19"/>
    <s v="Disco duro externo 1TB"/>
    <n v="5"/>
    <n v="12500"/>
    <n v="62500"/>
    <s v="CLI021"/>
    <s v="Mariana Ruiz"/>
    <x v="0"/>
    <s v="Tarjeta de credito"/>
    <s v="VEND003"/>
    <s v="Electronicos"/>
    <n v="6000"/>
    <m/>
  </r>
  <r>
    <d v="2023-09-23T00:00:00"/>
    <x v="20"/>
    <s v="Lampara LED escritorio"/>
    <n v="6"/>
    <n v="4999"/>
    <n v="29994"/>
    <s v="CLI022"/>
    <s v="Julio Campos"/>
    <x v="1"/>
    <s v="Efectivo"/>
    <s v="VEND002"/>
    <s v="Iluminacion"/>
    <n v="2000"/>
    <m/>
  </r>
  <r>
    <d v="2023-09-24T00:00:00"/>
    <x v="21"/>
    <s v="Tablet Lenovo Tab M10"/>
    <n v="3"/>
    <n v="39999"/>
    <n v="119997"/>
    <s v="CLI023"/>
    <s v="Paola Rios"/>
    <x v="3"/>
    <s v="Transferencia Bancaria"/>
    <s v="VEND001"/>
    <s v="Electronicos"/>
    <n v="25000"/>
    <m/>
  </r>
  <r>
    <d v="2023-09-25T00:00:00"/>
    <x v="22"/>
    <s v="Aspiradora Philips PowerPro"/>
    <n v="1"/>
    <n v="95000"/>
    <n v="95000"/>
    <s v="CLI024"/>
    <s v="Fernando Luna"/>
    <x v="4"/>
    <s v="Tarjeta de debito"/>
    <s v="VEND003"/>
    <s v="Electrodomesticos"/>
    <n v="60000"/>
    <m/>
  </r>
  <r>
    <d v="2023-09-26T00:00:00"/>
    <x v="23"/>
    <s v="Silla gamer Cougar"/>
    <n v="2"/>
    <n v="150000"/>
    <n v="300000"/>
    <s v="CLI025"/>
    <s v="Kevin Salazar"/>
    <x v="2"/>
    <s v="Paypal"/>
    <s v="VEND002"/>
    <s v="Muebles"/>
    <n v="100000"/>
    <m/>
  </r>
  <r>
    <d v="2023-09-27T00:00:00"/>
    <x v="24"/>
    <s v="Reloj Casio digital"/>
    <n v="7"/>
    <n v="3999"/>
    <n v="27993"/>
    <s v="CLI026"/>
    <s v="Natalia Vega"/>
    <x v="0"/>
    <s v="Efectivo"/>
    <s v="VEND001"/>
    <s v="Accesorios"/>
    <n v="1500"/>
    <m/>
  </r>
  <r>
    <d v="2023-09-28T00:00:00"/>
    <x v="25"/>
    <s v="Bicicleta urbana Trek"/>
    <n v="1"/>
    <n v="450000"/>
    <n v="450000"/>
    <s v="CLI027"/>
    <s v="Andres Molina"/>
    <x v="1"/>
    <s v="Transferencia Bancaria"/>
    <s v="VEND003"/>
    <s v="Deportes"/>
    <n v="320000"/>
    <m/>
  </r>
  <r>
    <d v="2023-09-29T00:00:00"/>
    <x v="26"/>
    <s v="Router TP-Link AX3000"/>
    <n v="4"/>
    <n v="28500"/>
    <n v="114000"/>
    <s v="CLI028"/>
    <s v="Gabriela Peña"/>
    <x v="3"/>
    <s v="Tarjeta de credito"/>
    <s v="VEND002"/>
    <s v="Electronicos"/>
    <n v="18000"/>
    <m/>
  </r>
  <r>
    <d v="2023-09-30T00:00:00"/>
    <x v="27"/>
    <s v="Celular Xiaomi Redmi Note"/>
    <n v="3"/>
    <n v="79999"/>
    <n v="239997"/>
    <s v="CLI029"/>
    <s v="Hector Fuentes"/>
    <x v="2"/>
    <s v="Tarjeta de debito"/>
    <s v="VEND001"/>
    <s v="Electronicos"/>
    <n v="50000"/>
    <m/>
  </r>
  <r>
    <d v="2023-10-01T00:00:00"/>
    <x v="28"/>
    <s v="Batidora Oster 6 velocidades"/>
    <n v="2"/>
    <n v="34999"/>
    <n v="69998"/>
    <s v="CLI030"/>
    <s v="Lucia Cabrera"/>
    <x v="4"/>
    <s v="Paypal"/>
    <s v="VEND003"/>
    <s v="Electrodomesticos"/>
    <n v="20000"/>
    <m/>
  </r>
  <r>
    <d v="2023-10-02T00:00:00"/>
    <x v="29"/>
    <s v="Impresora Epson EcoTank"/>
    <n v="1"/>
    <n v="110000"/>
    <n v="110000"/>
    <s v="CLI031"/>
    <s v="Martin Rojas"/>
    <x v="0"/>
    <s v="Tarjeta de credito"/>
    <s v="VEND002"/>
    <s v="Electronicos"/>
    <n v="75000"/>
    <m/>
  </r>
  <r>
    <d v="2023-10-03T00:00:00"/>
    <x v="30"/>
    <s v="Auriculares Bluetooth JBL"/>
    <n v="5"/>
    <n v="9500"/>
    <n v="47500"/>
    <s v="CLI032"/>
    <s v="Carla Navarro"/>
    <x v="1"/>
    <s v="Efectivo"/>
    <s v="VEND001"/>
    <s v="Electronicos"/>
    <n v="4000"/>
    <m/>
  </r>
  <r>
    <d v="2023-10-04T00:00:00"/>
    <x v="31"/>
    <s v="Mochila Nike deportiva"/>
    <n v="6"/>
    <n v="16999"/>
    <n v="101994"/>
    <s v="CLI033"/>
    <s v="Sergio Acosta"/>
    <x v="3"/>
    <s v="Transferencia Bancaria"/>
    <s v="VEND003"/>
    <s v="Ropa y calzado"/>
    <n v="8000"/>
    <m/>
  </r>
  <r>
    <d v="2023-10-05T00:00:00"/>
    <x v="32"/>
    <s v="Ventilador Torre Taurus"/>
    <n v="2"/>
    <n v="42000"/>
    <n v="84000"/>
    <s v="CLI034"/>
    <s v="Ana Beltran"/>
    <x v="4"/>
    <s v="Tarjeta de debito"/>
    <s v="VEND002"/>
    <s v="Electrodomesticos"/>
    <n v="25000"/>
    <m/>
  </r>
  <r>
    <d v="2023-10-06T00:00:00"/>
    <x v="33"/>
    <s v="Smart TV LG 50 pulgadas"/>
    <n v="1"/>
    <n v="320000"/>
    <n v="320000"/>
    <s v="CLI035"/>
    <s v="David Herrera"/>
    <x v="2"/>
    <s v="Paypal"/>
    <s v="VEND001"/>
    <s v="Electronicos"/>
    <n v="250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d v="2023-09-02T00:00:00"/>
    <s v="PROD002"/>
    <s v="Smartphone samsung Galaxy"/>
    <x v="0"/>
    <n v="89999"/>
    <n v="269997"/>
    <s v="CLI002"/>
    <s v="Maria Garcia"/>
    <s v="Sur"/>
    <s v="Efectivo"/>
    <s v="VEND002"/>
    <s v="Electronicos"/>
    <n v="70000"/>
  </r>
  <r>
    <d v="2023-09-01T00:00:00"/>
    <s v="PROD001"/>
    <s v="Laptop Dell XPS"/>
    <x v="1"/>
    <n v="129999"/>
    <n v="259998"/>
    <s v="CLI001"/>
    <s v="Juan Perez"/>
    <s v="Norte"/>
    <s v="Tarjeta de credito"/>
    <s v="VEND001"/>
    <s v="Electronicos"/>
    <n v="100000"/>
  </r>
  <r>
    <d v="2023-09-03T00:00:00"/>
    <s v="PROD003"/>
    <s v="Zapatilla Nike Air Max"/>
    <x v="2"/>
    <n v="12999"/>
    <n v="64995"/>
    <s v="CLI003"/>
    <s v="Carlos Rodriguez"/>
    <s v="Este"/>
    <s v="Transferencia Bancaria"/>
    <s v="VEND003"/>
    <s v="Ropa y calzado"/>
    <n v="8000"/>
  </r>
  <r>
    <d v="2023-09-05T00:00:00"/>
    <s v="PROD005"/>
    <s v="Libro &quot;Cien anños de soledad"/>
    <x v="3"/>
    <n v="1599"/>
    <n v="15990"/>
    <s v="CLI005"/>
    <s v="Pedro Sanchez"/>
    <s v="Centro"/>
    <s v="Tarjeta de debito"/>
    <s v="VEND002"/>
    <s v="Libros"/>
    <n v="1000"/>
  </r>
  <r>
    <d v="2023-09-04T00:00:00"/>
    <s v="PROD005"/>
    <s v="Licuadora oster"/>
    <x v="4"/>
    <n v="7999"/>
    <n v="7999"/>
    <s v="CLI004"/>
    <s v="Ana Martinez"/>
    <s v="Oeste"/>
    <s v="Paypal"/>
    <s v="VEND001"/>
    <s v="Electrodomesticos"/>
    <n v="5000"/>
  </r>
  <r>
    <d v="2023-09-07T00:00:00"/>
    <s v="PROD006"/>
    <s v="Tablet Samsung Galaxy Tab"/>
    <x v="5"/>
    <n v="45999"/>
    <n v="183996"/>
    <s v="CLI006"/>
    <s v="Luis Fernandez"/>
    <s v="Sur"/>
    <s v="Tarjeta de credito"/>
    <s v="VEND003"/>
    <s v="Electronicos"/>
    <n v="30000"/>
  </r>
  <r>
    <d v="2023-09-08T00:00:00"/>
    <s v="PROD007"/>
    <s v="Audifonos Sony WH-1000XM4"/>
    <x v="6"/>
    <n v="19999"/>
    <n v="119994"/>
    <s v="CLI007"/>
    <s v="Camila Torres"/>
    <s v="Norte"/>
    <s v="Transferencia Bancaria"/>
    <s v="VEND001"/>
    <s v="Electronicos"/>
    <n v="12000"/>
  </r>
  <r>
    <d v="2023-09-09T00:00:00"/>
    <s v="PROD008"/>
    <s v="Silla ergonomica oficina"/>
    <x v="1"/>
    <n v="85500"/>
    <n v="171000"/>
    <s v="CLI008"/>
    <s v="Jorge Ramirez"/>
    <s v="Centro"/>
    <s v="Efectivo"/>
    <s v="VEND002"/>
    <s v="Muebles"/>
    <n v="50000"/>
  </r>
  <r>
    <d v="2023-09-10T00:00:00"/>
    <s v="PROD009"/>
    <s v="Mouse Logitech MX Master"/>
    <x v="2"/>
    <n v="9999"/>
    <n v="49995"/>
    <s v="CLI009"/>
    <s v="Andrea Lopez"/>
    <s v="Este"/>
    <s v="Tarjeta de debito"/>
    <s v="VEND003"/>
    <s v="Accesorios"/>
    <n v="4000"/>
  </r>
  <r>
    <d v="2023-09-11T00:00:00"/>
    <s v="PROD010"/>
    <s v="Monitor LG 27 pulgadas"/>
    <x v="0"/>
    <n v="65999"/>
    <n v="197997"/>
    <s v="CLI010"/>
    <s v="Diego Morales"/>
    <s v="Oeste"/>
    <s v="Paypal"/>
    <s v="VEND001"/>
    <s v="Electronicos"/>
    <n v="40000"/>
  </r>
  <r>
    <d v="2023-09-12T00:00:00"/>
    <s v="PROD011"/>
    <s v="Teclado mecanico Redragon"/>
    <x v="7"/>
    <n v="8500"/>
    <n v="59500"/>
    <s v="CLI011"/>
    <s v="Sofia Herrera"/>
    <s v="Sur"/>
    <s v="Efectivo"/>
    <s v="VEND002"/>
    <s v="Accesorios"/>
    <n v="3500"/>
  </r>
  <r>
    <d v="2023-09-13T00:00:00"/>
    <s v="PROD012"/>
    <s v="Cafetera Oster 12 tazas"/>
    <x v="1"/>
    <n v="22999"/>
    <n v="45998"/>
    <s v="CLI012"/>
    <s v="Miguel Castro"/>
    <s v="Norte"/>
    <s v="Tarjeta de credito"/>
    <s v="VEND003"/>
    <s v="Electrodomesticos"/>
    <n v="15000"/>
  </r>
  <r>
    <d v="2023-09-14T00:00:00"/>
    <s v="PROD013"/>
    <s v="Smartwatch Xiaomi Band 8"/>
    <x v="8"/>
    <n v="6999"/>
    <n v="55992"/>
    <s v="CLI013"/>
    <s v="Valeria Rojas"/>
    <s v="Este"/>
    <s v="Transferencia Bancaria"/>
    <s v="VEND001"/>
    <s v="Electronicos"/>
    <n v="2500"/>
  </r>
  <r>
    <d v="2023-09-15T00:00:00"/>
    <s v="PROD014"/>
    <s v="Mochila escolar Adidas"/>
    <x v="5"/>
    <n v="14500"/>
    <n v="58000"/>
    <s v="CLI014"/>
    <s v="Ricardo Vega"/>
    <s v="Centro"/>
    <s v="Tarjeta de debito"/>
    <s v="VEND002"/>
    <s v="Ropa y calzado"/>
    <n v="7000"/>
  </r>
  <r>
    <d v="2023-09-16T00:00:00"/>
    <s v="PROD015"/>
    <s v="Impresora HP DeskJet"/>
    <x v="4"/>
    <n v="54999"/>
    <n v="54999"/>
    <s v="CLI015"/>
    <s v="Elena Navarro"/>
    <s v="Oeste"/>
    <s v="Paypal"/>
    <s v="VEND003"/>
    <s v="Electronicos"/>
    <n v="35000"/>
  </r>
  <r>
    <d v="2023-09-17T00:00:00"/>
    <s v="PROD016"/>
    <s v="Camara Canon EOS M50"/>
    <x v="1"/>
    <n v="89500"/>
    <n v="179000"/>
    <s v="CLI016"/>
    <s v="Pablo Gutierrez"/>
    <s v="Sur"/>
    <s v="Tarjeta de credito"/>
    <s v="VEND001"/>
    <s v="Electronicos"/>
    <n v="60000"/>
  </r>
  <r>
    <d v="2023-09-18T00:00:00"/>
    <s v="PROD017"/>
    <s v="Altavoz JBL Charge 5"/>
    <x v="0"/>
    <n v="24999"/>
    <n v="74997"/>
    <s v="CLI017"/>
    <s v="Laura Medina"/>
    <s v="Norte"/>
    <s v="Efectivo"/>
    <s v="VEND002"/>
    <s v="Electronicos"/>
    <n v="15000"/>
  </r>
  <r>
    <d v="2023-09-19T00:00:00"/>
    <s v="PROD018"/>
    <s v="Mesa de escritorio madera"/>
    <x v="4"/>
    <n v="120000"/>
    <n v="120000"/>
    <s v="CLI018"/>
    <s v="Raul Paredes"/>
    <s v="Centro"/>
    <s v="Transferencia Bancaria"/>
    <s v="VEND003"/>
    <s v="Muebles"/>
    <n v="80000"/>
  </r>
  <r>
    <d v="2023-09-20T00:00:00"/>
    <s v="PROD019"/>
    <s v="Zapatillas Adidas Runfalcon"/>
    <x v="5"/>
    <n v="18999"/>
    <n v="75996"/>
    <s v="CLI019"/>
    <s v="Daniela Soto"/>
    <s v="Este"/>
    <s v="Tarjeta de debito"/>
    <s v="VEND002"/>
    <s v="Ropa y calzado"/>
    <n v="9000"/>
  </r>
  <r>
    <d v="2023-09-21T00:00:00"/>
    <s v="PROD020"/>
    <s v="Horno microondas Samsung"/>
    <x v="1"/>
    <n v="55000"/>
    <n v="110000"/>
    <s v="CLI020"/>
    <s v="Cesar Vargas"/>
    <s v="Oeste"/>
    <s v="Paypal"/>
    <s v="VEND001"/>
    <s v="Electrodomesticos"/>
    <n v="35000"/>
  </r>
  <r>
    <d v="2023-09-22T00:00:00"/>
    <s v="PROD021"/>
    <s v="Disco duro externo 1TB"/>
    <x v="2"/>
    <n v="12500"/>
    <n v="62500"/>
    <s v="CLI021"/>
    <s v="Mariana Ruiz"/>
    <s v="Sur"/>
    <s v="Tarjeta de credito"/>
    <s v="VEND003"/>
    <s v="Electronicos"/>
    <n v="6000"/>
  </r>
  <r>
    <d v="2023-09-23T00:00:00"/>
    <s v="PROD022"/>
    <s v="Lampara LED escritorio"/>
    <x v="6"/>
    <n v="4999"/>
    <n v="29994"/>
    <s v="CLI022"/>
    <s v="Julio Campos"/>
    <s v="Norte"/>
    <s v="Efectivo"/>
    <s v="VEND002"/>
    <s v="Iluminacion"/>
    <n v="2000"/>
  </r>
  <r>
    <d v="2023-09-24T00:00:00"/>
    <s v="PROD023"/>
    <s v="Tablet Lenovo Tab M10"/>
    <x v="0"/>
    <n v="39999"/>
    <n v="119997"/>
    <s v="CLI023"/>
    <s v="Paola Rios"/>
    <s v="Centro"/>
    <s v="Transferencia Bancaria"/>
    <s v="VEND001"/>
    <s v="Electronicos"/>
    <n v="25000"/>
  </r>
  <r>
    <d v="2023-09-25T00:00:00"/>
    <s v="PROD024"/>
    <s v="Aspiradora Philips PowerPro"/>
    <x v="4"/>
    <n v="95000"/>
    <n v="95000"/>
    <s v="CLI024"/>
    <s v="Fernando Luna"/>
    <s v="Oeste"/>
    <s v="Tarjeta de debito"/>
    <s v="VEND003"/>
    <s v="Electrodomesticos"/>
    <n v="60000"/>
  </r>
  <r>
    <d v="2023-09-26T00:00:00"/>
    <s v="PROD025"/>
    <s v="Silla gamer Cougar"/>
    <x v="1"/>
    <n v="150000"/>
    <n v="300000"/>
    <s v="CLI025"/>
    <s v="Kevin Salazar"/>
    <s v="Este"/>
    <s v="Paypal"/>
    <s v="VEND002"/>
    <s v="Muebles"/>
    <n v="100000"/>
  </r>
  <r>
    <d v="2023-09-27T00:00:00"/>
    <s v="PROD026"/>
    <s v="Reloj Casio digital"/>
    <x v="7"/>
    <n v="3999"/>
    <n v="27993"/>
    <s v="CLI026"/>
    <s v="Natalia Vega"/>
    <s v="Sur"/>
    <s v="Efectivo"/>
    <s v="VEND001"/>
    <s v="Accesorios"/>
    <n v="1500"/>
  </r>
  <r>
    <d v="2023-09-28T00:00:00"/>
    <s v="PROD027"/>
    <s v="Bicicleta urbana Trek"/>
    <x v="4"/>
    <n v="450000"/>
    <n v="450000"/>
    <s v="CLI027"/>
    <s v="Andres Molina"/>
    <s v="Norte"/>
    <s v="Transferencia Bancaria"/>
    <s v="VEND003"/>
    <s v="Deportes"/>
    <n v="320000"/>
  </r>
  <r>
    <d v="2023-09-29T00:00:00"/>
    <s v="PROD028"/>
    <s v="Router TP-Link AX3000"/>
    <x v="5"/>
    <n v="28500"/>
    <n v="114000"/>
    <s v="CLI028"/>
    <s v="Gabriela Peña"/>
    <s v="Centro"/>
    <s v="Tarjeta de credito"/>
    <s v="VEND002"/>
    <s v="Electronicos"/>
    <n v="18000"/>
  </r>
  <r>
    <d v="2023-09-30T00:00:00"/>
    <s v="PROD029"/>
    <s v="Celular Xiaomi Redmi Note"/>
    <x v="0"/>
    <n v="79999"/>
    <n v="239997"/>
    <s v="CLI029"/>
    <s v="Hector Fuentes"/>
    <s v="Este"/>
    <s v="Tarjeta de debito"/>
    <s v="VEND001"/>
    <s v="Electronicos"/>
    <n v="50000"/>
  </r>
  <r>
    <d v="2023-10-01T00:00:00"/>
    <s v="PROD030"/>
    <s v="Batidora Oster 6 velocidades"/>
    <x v="1"/>
    <n v="34999"/>
    <n v="69998"/>
    <s v="CLI030"/>
    <s v="Lucia Cabrera"/>
    <s v="Oeste"/>
    <s v="Paypal"/>
    <s v="VEND003"/>
    <s v="Electrodomesticos"/>
    <n v="20000"/>
  </r>
  <r>
    <d v="2023-10-02T00:00:00"/>
    <s v="PROD031"/>
    <s v="Impresora Epson EcoTank"/>
    <x v="4"/>
    <n v="110000"/>
    <n v="110000"/>
    <s v="CLI031"/>
    <s v="Martin Rojas"/>
    <s v="Sur"/>
    <s v="Tarjeta de credito"/>
    <s v="VEND002"/>
    <s v="Electronicos"/>
    <n v="75000"/>
  </r>
  <r>
    <d v="2023-10-03T00:00:00"/>
    <s v="PROD032"/>
    <s v="Auriculares Bluetooth JBL"/>
    <x v="2"/>
    <n v="9500"/>
    <n v="47500"/>
    <s v="CLI032"/>
    <s v="Carla Navarro"/>
    <s v="Norte"/>
    <s v="Efectivo"/>
    <s v="VEND001"/>
    <s v="Electronicos"/>
    <n v="4000"/>
  </r>
  <r>
    <d v="2023-10-04T00:00:00"/>
    <s v="PROD033"/>
    <s v="Mochila Nike deportiva"/>
    <x v="6"/>
    <n v="16999"/>
    <n v="101994"/>
    <s v="CLI033"/>
    <s v="Sergio Acosta"/>
    <s v="Centro"/>
    <s v="Transferencia Bancaria"/>
    <s v="VEND003"/>
    <s v="Ropa y calzado"/>
    <n v="8000"/>
  </r>
  <r>
    <d v="2023-10-05T00:00:00"/>
    <s v="PROD034"/>
    <s v="Ventilador Torre Taurus"/>
    <x v="1"/>
    <n v="42000"/>
    <n v="84000"/>
    <s v="CLI034"/>
    <s v="Ana Beltran"/>
    <s v="Oeste"/>
    <s v="Tarjeta de debito"/>
    <s v="VEND002"/>
    <s v="Electrodomesticos"/>
    <n v="25000"/>
  </r>
  <r>
    <d v="2023-10-06T00:00:00"/>
    <s v="PROD035"/>
    <s v="Smart TV LG 50 pulgadas"/>
    <x v="4"/>
    <n v="320000"/>
    <n v="320000"/>
    <s v="CLI035"/>
    <s v="David Herrera"/>
    <s v="Este"/>
    <s v="Paypal"/>
    <s v="VEND001"/>
    <s v="Electronicos"/>
    <n v="250000"/>
  </r>
  <r>
    <d v="2023-10-07T00:00:00"/>
    <s v="PROD036"/>
    <s v="Laptop HP Pavilion"/>
    <x v="0"/>
    <n v="150000"/>
    <n v="450000"/>
    <s v="CLI036"/>
    <s v="Alberto Cruz"/>
    <s v="Norte"/>
    <s v="Tarjeta de credito"/>
    <s v="VEND001"/>
    <s v="Electronicos"/>
    <n v="110000"/>
  </r>
  <r>
    <d v="2023-10-08T00:00:00"/>
    <s v="PROD037"/>
    <s v="iPhone 14"/>
    <x v="1"/>
    <n v="320000"/>
    <n v="640000"/>
    <s v="CLI037"/>
    <s v="Monica Reyes"/>
    <s v="Sur"/>
    <s v="Efectivo"/>
    <s v="VEND002"/>
    <s v="Electronicos"/>
    <n v="250000"/>
  </r>
  <r>
    <d v="2023-10-09T00:00:00"/>
    <s v="PROD038"/>
    <s v="Smart TV Samsung 55&quot;"/>
    <x v="5"/>
    <n v="280000"/>
    <n v="1120000"/>
    <s v="CLI038"/>
    <s v="Javier Molina"/>
    <s v="Este"/>
    <s v="Transferencia Bancaria"/>
    <s v="VEND003"/>
    <s v="Electronicos"/>
    <n v="200000"/>
  </r>
  <r>
    <d v="2023-10-10T00:00:00"/>
    <s v="PROD039"/>
    <s v="Refrigeradora LG"/>
    <x v="1"/>
    <n v="450000"/>
    <n v="900000"/>
    <s v="CLI039"/>
    <s v="Patricia Gomez"/>
    <s v="Centro"/>
    <s v="Tarjeta de debito"/>
    <s v="VEND001"/>
    <s v="Electrodomesticos"/>
    <n v="320000"/>
  </r>
  <r>
    <d v="2023-10-11T00:00:00"/>
    <s v="PROD040"/>
    <s v="PlayStation 5"/>
    <x v="0"/>
    <n v="390000"/>
    <n v="1170000"/>
    <s v="CLI040"/>
    <s v="Carlos Vega"/>
    <s v="Oeste"/>
    <s v="Paypal"/>
    <s v="VEND002"/>
    <s v="Electronicos"/>
    <n v="300000"/>
  </r>
  <r>
    <d v="2023-10-12T00:00:00"/>
    <s v="PROD041"/>
    <s v="Lavadora Samsung 18kg"/>
    <x v="1"/>
    <n v="520000"/>
    <n v="1040000"/>
    <s v="CLI041"/>
    <s v="Luisa Herrera"/>
    <s v="Sur"/>
    <s v="Tarjeta de credito"/>
    <s v="VEND003"/>
    <s v="Electrodomesticos"/>
    <n v="380000"/>
  </r>
  <r>
    <d v="2023-10-13T00:00:00"/>
    <s v="PROD042"/>
    <s v="Monitor Gamer ASUS 27&quot;"/>
    <x v="2"/>
    <n v="180000"/>
    <n v="900000"/>
    <s v="CLI042"/>
    <s v="Rodrigo Salas"/>
    <s v="Norte"/>
    <s v="Efectivo"/>
    <s v="VEND001"/>
    <s v="Electronicos"/>
    <n v="120000"/>
  </r>
  <r>
    <d v="2023-10-14T00:00:00"/>
    <s v="PROD043"/>
    <s v="Silla Gamer Pro"/>
    <x v="6"/>
    <n v="95000"/>
    <n v="570000"/>
    <s v="CLI043"/>
    <s v="Diana Castro"/>
    <s v="Este"/>
    <s v="Tarjeta de debito"/>
    <s v="VEND002"/>
    <s v="Muebles"/>
    <n v="60000"/>
  </r>
  <r>
    <d v="2023-10-15T00:00:00"/>
    <s v="PROD044"/>
    <s v="Tableta iPad Air"/>
    <x v="5"/>
    <n v="250000"/>
    <n v="1000000"/>
    <s v="CLI044"/>
    <s v="Felipe Torres"/>
    <s v="Centro"/>
    <s v="Transferencia Bancaria"/>
    <s v="VEND003"/>
    <s v="Electronicos"/>
    <n v="180000"/>
  </r>
  <r>
    <d v="2023-10-16T00:00:00"/>
    <s v="PROD045"/>
    <s v="Aire Acondicionado LG"/>
    <x v="1"/>
    <n v="600000"/>
    <n v="1200000"/>
    <s v="CLI045"/>
    <s v="Maria Lopez"/>
    <s v="Oeste"/>
    <s v="Paypal"/>
    <s v="VEND001"/>
    <s v="Electrodomesticos"/>
    <n v="450000"/>
  </r>
  <r>
    <d v="2023-10-17T00:00:00"/>
    <s v="PROD046"/>
    <s v="PC Gamer RTX"/>
    <x v="4"/>
    <n v="1500000"/>
    <n v="1500000"/>
    <s v="CLI046"/>
    <s v="Andres Rios"/>
    <s v="Sur"/>
    <s v="Tarjeta de credito"/>
    <s v="VEND002"/>
    <s v="Electronicos"/>
    <n v="1200000"/>
  </r>
  <r>
    <d v="2023-10-18T00:00:00"/>
    <s v="PROD047"/>
    <s v="MacBook Pro 14&quot;"/>
    <x v="1"/>
    <n v="980000"/>
    <n v="1960000"/>
    <s v="CLI047"/>
    <s v="Sofia Martinez"/>
    <s v="Norte"/>
    <s v="Efectivo"/>
    <s v="VEND003"/>
    <s v="Electronicos"/>
    <n v="800000"/>
  </r>
  <r>
    <d v="2023-10-19T00:00:00"/>
    <s v="PROD048"/>
    <s v="Camara Sony Alpha"/>
    <x v="0"/>
    <n v="420000"/>
    <n v="1260000"/>
    <s v="CLI048"/>
    <s v="Jose Ramirez"/>
    <s v="Este"/>
    <s v="Tarjeta de debito"/>
    <s v="VEND001"/>
    <s v="Electronicos"/>
    <n v="300000"/>
  </r>
  <r>
    <d v="2023-10-20T00:00:00"/>
    <s v="PROD049"/>
    <s v="Bicicleta Electrica"/>
    <x v="1"/>
    <n v="750000"/>
    <n v="1500000"/>
    <s v="CLI049"/>
    <s v="Camila Duarte"/>
    <s v="Centro"/>
    <s v="Transferencia Bancaria"/>
    <s v="VEND002"/>
    <s v="Deportes"/>
    <n v="520000"/>
  </r>
  <r>
    <d v="2023-10-21T00:00:00"/>
    <s v="PROD050"/>
    <s v="Proyector Epson HD"/>
    <x v="5"/>
    <n v="210000"/>
    <n v="840000"/>
    <s v="CLI050"/>
    <s v="Diego Navarro"/>
    <s v="Oeste"/>
    <s v="Paypal"/>
    <s v="VEND003"/>
    <s v="Electronicos"/>
    <n v="150000"/>
  </r>
  <r>
    <d v="2023-10-22T00:00:00"/>
    <s v="PROD051"/>
    <s v="Horno Industrial"/>
    <x v="4"/>
    <n v="890000"/>
    <n v="890000"/>
    <s v="CLI051"/>
    <s v="Raul Mendoza"/>
    <s v="Sur"/>
    <s v="Tarjeta de credito"/>
    <s v="VEND001"/>
    <s v="Electrodomesticos"/>
    <n v="650000"/>
  </r>
  <r>
    <d v="2023-10-23T00:00:00"/>
    <s v="PROD052"/>
    <s v="Servidor NAS Synology"/>
    <x v="1"/>
    <n v="670000"/>
    <n v="1340000"/>
    <s v="CLI052"/>
    <s v="Gabriel Ponce"/>
    <s v="Norte"/>
    <s v="Efectivo"/>
    <s v="VEND002"/>
    <s v="Tecnologia"/>
    <n v="500000"/>
  </r>
  <r>
    <d v="2023-10-24T00:00:00"/>
    <s v="PROD053"/>
    <s v="Drone DJI Mini 3"/>
    <x v="0"/>
    <n v="350000"/>
    <n v="1050000"/>
    <s v="CLI053"/>
    <s v="Valeria Ruiz"/>
    <s v="Este"/>
    <s v="Tarjeta de debito"/>
    <s v="VEND003"/>
    <s v="Electronicos"/>
    <n v="250000"/>
  </r>
  <r>
    <d v="2023-10-25T00:00:00"/>
    <s v="PROD054"/>
    <s v="Smart TV OLED LG 65&quot;"/>
    <x v="1"/>
    <n v="1200000"/>
    <n v="2400000"/>
    <s v="CLI054"/>
    <s v="Hector Silva"/>
    <s v="Centro"/>
    <s v="Transferencia Bancaria"/>
    <s v="VEND001"/>
    <s v="Electronicos"/>
    <n v="900000"/>
  </r>
  <r>
    <d v="2023-10-26T00:00:00"/>
    <s v="PROD055"/>
    <s v="Consola Xbox Series X"/>
    <x v="0"/>
    <n v="410000"/>
    <n v="1230000"/>
    <s v="CLI055"/>
    <s v="Elena Torres"/>
    <s v="Oeste"/>
    <s v="Paypal"/>
    <s v="VEND002"/>
    <s v="Electronicos"/>
    <n v="32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d v="2023-09-02T00:00:00"/>
    <x v="0"/>
    <s v="Smartphone samsung Galaxy"/>
    <n v="3"/>
    <n v="89999"/>
    <x v="0"/>
    <x v="0"/>
    <s v="Maria Garcia"/>
    <x v="0"/>
    <x v="0"/>
    <x v="0"/>
    <s v="Electronicos"/>
    <n v="70000"/>
    <m/>
  </r>
  <r>
    <d v="2023-09-01T00:00:00"/>
    <x v="1"/>
    <s v="Laptop Dell XPS"/>
    <n v="2"/>
    <n v="129999"/>
    <x v="1"/>
    <x v="1"/>
    <s v="Juan Perez"/>
    <x v="1"/>
    <x v="1"/>
    <x v="1"/>
    <s v="Electronicos"/>
    <n v="100000"/>
    <m/>
  </r>
  <r>
    <d v="2023-09-03T00:00:00"/>
    <x v="2"/>
    <s v="Zapatilla Nike Air Max"/>
    <n v="5"/>
    <n v="12999"/>
    <x v="2"/>
    <x v="2"/>
    <s v="Carlos Rodriguez"/>
    <x v="2"/>
    <x v="2"/>
    <x v="2"/>
    <s v="Ropa y calzado"/>
    <n v="8000"/>
    <m/>
  </r>
  <r>
    <d v="2023-09-05T00:00:00"/>
    <x v="3"/>
    <s v="Libro &quot;Cien anños de soledad"/>
    <n v="10"/>
    <n v="1599"/>
    <x v="3"/>
    <x v="3"/>
    <s v="Pedro Sanchez"/>
    <x v="3"/>
    <x v="3"/>
    <x v="0"/>
    <s v="Libros"/>
    <n v="1000"/>
    <m/>
  </r>
  <r>
    <d v="2023-09-04T00:00:00"/>
    <x v="3"/>
    <s v="Licuadora oster"/>
    <n v="1"/>
    <n v="7999"/>
    <x v="4"/>
    <x v="4"/>
    <s v="Ana Martinez"/>
    <x v="4"/>
    <x v="4"/>
    <x v="1"/>
    <s v="Electrodomesticos"/>
    <n v="5000"/>
    <m/>
  </r>
  <r>
    <d v="2023-09-07T00:00:00"/>
    <x v="4"/>
    <s v="Tablet Samsung Galaxy Tab"/>
    <n v="4"/>
    <n v="45999"/>
    <x v="5"/>
    <x v="5"/>
    <s v="Luis Fernandez"/>
    <x v="0"/>
    <x v="1"/>
    <x v="2"/>
    <s v="Electronicos"/>
    <n v="30000"/>
    <m/>
  </r>
  <r>
    <d v="2023-09-08T00:00:00"/>
    <x v="5"/>
    <s v="Audifonos Sony WH-1000XM4"/>
    <n v="6"/>
    <n v="19999"/>
    <x v="6"/>
    <x v="6"/>
    <s v="Camila Torres"/>
    <x v="1"/>
    <x v="2"/>
    <x v="1"/>
    <s v="Electronicos"/>
    <n v="12000"/>
    <m/>
  </r>
  <r>
    <d v="2023-09-09T00:00:00"/>
    <x v="6"/>
    <s v="Silla ergonomica oficina"/>
    <n v="2"/>
    <n v="85500"/>
    <x v="7"/>
    <x v="7"/>
    <s v="Jorge Ramirez"/>
    <x v="3"/>
    <x v="0"/>
    <x v="0"/>
    <s v="Muebles"/>
    <n v="50000"/>
    <m/>
  </r>
  <r>
    <d v="2023-09-10T00:00:00"/>
    <x v="7"/>
    <s v="Mouse Logitech MX Master"/>
    <n v="5"/>
    <n v="9999"/>
    <x v="8"/>
    <x v="8"/>
    <s v="Andrea Lopez"/>
    <x v="2"/>
    <x v="3"/>
    <x v="2"/>
    <s v="Accesorios"/>
    <n v="4000"/>
    <m/>
  </r>
  <r>
    <d v="2023-09-11T00:00:00"/>
    <x v="8"/>
    <s v="Monitor LG 27 pulgadas"/>
    <n v="3"/>
    <n v="65999"/>
    <x v="9"/>
    <x v="9"/>
    <s v="Diego Morales"/>
    <x v="4"/>
    <x v="4"/>
    <x v="1"/>
    <s v="Electronicos"/>
    <n v="40000"/>
    <m/>
  </r>
  <r>
    <d v="2023-09-12T00:00:00"/>
    <x v="9"/>
    <s v="Teclado mecanico Redragon"/>
    <n v="7"/>
    <n v="8500"/>
    <x v="10"/>
    <x v="10"/>
    <s v="Sofia Herrera"/>
    <x v="0"/>
    <x v="0"/>
    <x v="0"/>
    <s v="Accesorios"/>
    <n v="3500"/>
    <m/>
  </r>
  <r>
    <d v="2023-09-13T00:00:00"/>
    <x v="10"/>
    <s v="Cafetera Oster 12 tazas"/>
    <n v="2"/>
    <n v="22999"/>
    <x v="11"/>
    <x v="11"/>
    <s v="Miguel Castro"/>
    <x v="1"/>
    <x v="1"/>
    <x v="2"/>
    <s v="Electrodomesticos"/>
    <n v="15000"/>
    <m/>
  </r>
  <r>
    <d v="2023-09-14T00:00:00"/>
    <x v="11"/>
    <s v="Smartwatch Xiaomi Band 8"/>
    <n v="8"/>
    <n v="6999"/>
    <x v="12"/>
    <x v="12"/>
    <s v="Valeria Rojas"/>
    <x v="2"/>
    <x v="2"/>
    <x v="1"/>
    <s v="Electronicos"/>
    <n v="2500"/>
    <m/>
  </r>
  <r>
    <d v="2023-09-15T00:00:00"/>
    <x v="12"/>
    <s v="Mochila escolar Adidas"/>
    <n v="4"/>
    <n v="14500"/>
    <x v="13"/>
    <x v="13"/>
    <s v="Ricardo Vega"/>
    <x v="3"/>
    <x v="3"/>
    <x v="0"/>
    <s v="Ropa y calzado"/>
    <n v="7000"/>
    <m/>
  </r>
  <r>
    <d v="2023-09-16T00:00:00"/>
    <x v="13"/>
    <s v="Impresora HP DeskJet"/>
    <n v="1"/>
    <n v="54999"/>
    <x v="14"/>
    <x v="14"/>
    <s v="Elena Navarro"/>
    <x v="4"/>
    <x v="4"/>
    <x v="2"/>
    <s v="Electronicos"/>
    <n v="35000"/>
    <m/>
  </r>
  <r>
    <d v="2023-09-17T00:00:00"/>
    <x v="14"/>
    <s v="Camara Canon EOS M50"/>
    <n v="2"/>
    <n v="89500"/>
    <x v="15"/>
    <x v="15"/>
    <s v="Pablo Gutierrez"/>
    <x v="0"/>
    <x v="1"/>
    <x v="1"/>
    <s v="Electronicos"/>
    <n v="60000"/>
    <m/>
  </r>
  <r>
    <d v="2023-09-18T00:00:00"/>
    <x v="15"/>
    <s v="Altavoz JBL Charge 5"/>
    <n v="3"/>
    <n v="24999"/>
    <x v="16"/>
    <x v="16"/>
    <s v="Laura Medina"/>
    <x v="1"/>
    <x v="0"/>
    <x v="0"/>
    <s v="Electronicos"/>
    <n v="15000"/>
    <m/>
  </r>
  <r>
    <d v="2023-09-19T00:00:00"/>
    <x v="16"/>
    <s v="Mesa de escritorio madera"/>
    <n v="1"/>
    <n v="120000"/>
    <x v="17"/>
    <x v="17"/>
    <s v="Raul Paredes"/>
    <x v="3"/>
    <x v="2"/>
    <x v="2"/>
    <s v="Muebles"/>
    <n v="80000"/>
    <m/>
  </r>
  <r>
    <d v="2023-09-20T00:00:00"/>
    <x v="17"/>
    <s v="Zapatillas Adidas Runfalcon"/>
    <n v="4"/>
    <n v="18999"/>
    <x v="18"/>
    <x v="18"/>
    <s v="Daniela Soto"/>
    <x v="2"/>
    <x v="3"/>
    <x v="0"/>
    <s v="Ropa y calzado"/>
    <n v="9000"/>
    <m/>
  </r>
  <r>
    <d v="2023-09-21T00:00:00"/>
    <x v="18"/>
    <s v="Horno microondas Samsung"/>
    <n v="2"/>
    <n v="55000"/>
    <x v="19"/>
    <x v="19"/>
    <s v="Cesar Vargas"/>
    <x v="4"/>
    <x v="4"/>
    <x v="1"/>
    <s v="Electrodomesticos"/>
    <n v="35000"/>
    <m/>
  </r>
  <r>
    <d v="2023-09-22T00:00:00"/>
    <x v="19"/>
    <s v="Disco duro externo 1TB"/>
    <n v="5"/>
    <n v="12500"/>
    <x v="20"/>
    <x v="20"/>
    <s v="Mariana Ruiz"/>
    <x v="0"/>
    <x v="1"/>
    <x v="2"/>
    <s v="Electronicos"/>
    <n v="6000"/>
    <m/>
  </r>
  <r>
    <d v="2023-09-23T00:00:00"/>
    <x v="20"/>
    <s v="Lampara LED escritorio"/>
    <n v="6"/>
    <n v="4999"/>
    <x v="21"/>
    <x v="21"/>
    <s v="Julio Campos"/>
    <x v="1"/>
    <x v="0"/>
    <x v="0"/>
    <s v="Iluminacion"/>
    <n v="2000"/>
    <m/>
  </r>
  <r>
    <d v="2023-09-24T00:00:00"/>
    <x v="21"/>
    <s v="Tablet Lenovo Tab M10"/>
    <n v="3"/>
    <n v="39999"/>
    <x v="22"/>
    <x v="22"/>
    <s v="Paola Rios"/>
    <x v="3"/>
    <x v="2"/>
    <x v="1"/>
    <s v="Electronicos"/>
    <n v="25000"/>
    <m/>
  </r>
  <r>
    <d v="2023-09-25T00:00:00"/>
    <x v="22"/>
    <s v="Aspiradora Philips PowerPro"/>
    <n v="1"/>
    <n v="95000"/>
    <x v="23"/>
    <x v="23"/>
    <s v="Fernando Luna"/>
    <x v="4"/>
    <x v="3"/>
    <x v="2"/>
    <s v="Electrodomesticos"/>
    <n v="60000"/>
    <m/>
  </r>
  <r>
    <d v="2023-09-26T00:00:00"/>
    <x v="23"/>
    <s v="Silla gamer Cougar"/>
    <n v="2"/>
    <n v="150000"/>
    <x v="24"/>
    <x v="24"/>
    <s v="Kevin Salazar"/>
    <x v="2"/>
    <x v="4"/>
    <x v="0"/>
    <s v="Muebles"/>
    <n v="100000"/>
    <m/>
  </r>
  <r>
    <d v="2023-09-27T00:00:00"/>
    <x v="24"/>
    <s v="Reloj Casio digital"/>
    <n v="7"/>
    <n v="3999"/>
    <x v="25"/>
    <x v="25"/>
    <s v="Natalia Vega"/>
    <x v="0"/>
    <x v="0"/>
    <x v="1"/>
    <s v="Accesorios"/>
    <n v="1500"/>
    <m/>
  </r>
  <r>
    <d v="2023-09-28T00:00:00"/>
    <x v="25"/>
    <s v="Bicicleta urbana Trek"/>
    <n v="1"/>
    <n v="450000"/>
    <x v="26"/>
    <x v="26"/>
    <s v="Andres Molina"/>
    <x v="1"/>
    <x v="2"/>
    <x v="2"/>
    <s v="Deportes"/>
    <n v="320000"/>
    <m/>
  </r>
  <r>
    <d v="2023-09-29T00:00:00"/>
    <x v="26"/>
    <s v="Router TP-Link AX3000"/>
    <n v="4"/>
    <n v="28500"/>
    <x v="27"/>
    <x v="27"/>
    <s v="Gabriela Peña"/>
    <x v="3"/>
    <x v="1"/>
    <x v="0"/>
    <s v="Electronicos"/>
    <n v="18000"/>
    <m/>
  </r>
  <r>
    <d v="2023-09-30T00:00:00"/>
    <x v="27"/>
    <s v="Celular Xiaomi Redmi Note"/>
    <n v="3"/>
    <n v="79999"/>
    <x v="28"/>
    <x v="28"/>
    <s v="Hector Fuentes"/>
    <x v="2"/>
    <x v="3"/>
    <x v="1"/>
    <s v="Electronicos"/>
    <n v="50000"/>
    <m/>
  </r>
  <r>
    <d v="2023-10-01T00:00:00"/>
    <x v="28"/>
    <s v="Batidora Oster 6 velocidades"/>
    <n v="2"/>
    <n v="34999"/>
    <x v="29"/>
    <x v="29"/>
    <s v="Lucia Cabrera"/>
    <x v="4"/>
    <x v="4"/>
    <x v="2"/>
    <s v="Electrodomesticos"/>
    <n v="20000"/>
    <m/>
  </r>
  <r>
    <d v="2023-10-02T00:00:00"/>
    <x v="29"/>
    <s v="Impresora Epson EcoTank"/>
    <n v="1"/>
    <n v="110000"/>
    <x v="19"/>
    <x v="30"/>
    <s v="Martin Rojas"/>
    <x v="0"/>
    <x v="1"/>
    <x v="0"/>
    <s v="Electronicos"/>
    <n v="75000"/>
    <m/>
  </r>
  <r>
    <d v="2023-10-03T00:00:00"/>
    <x v="30"/>
    <s v="Auriculares Bluetooth JBL"/>
    <n v="5"/>
    <n v="9500"/>
    <x v="30"/>
    <x v="31"/>
    <s v="Carla Navarro"/>
    <x v="1"/>
    <x v="0"/>
    <x v="1"/>
    <s v="Electronicos"/>
    <n v="4000"/>
    <m/>
  </r>
  <r>
    <d v="2023-10-04T00:00:00"/>
    <x v="31"/>
    <s v="Mochila Nike deportiva"/>
    <n v="6"/>
    <n v="16999"/>
    <x v="31"/>
    <x v="32"/>
    <s v="Sergio Acosta"/>
    <x v="3"/>
    <x v="2"/>
    <x v="2"/>
    <s v="Ropa y calzado"/>
    <n v="8000"/>
    <m/>
  </r>
  <r>
    <d v="2023-10-05T00:00:00"/>
    <x v="32"/>
    <s v="Ventilador Torre Taurus"/>
    <n v="2"/>
    <n v="42000"/>
    <x v="32"/>
    <x v="33"/>
    <s v="Ana Beltran"/>
    <x v="4"/>
    <x v="3"/>
    <x v="0"/>
    <s v="Electrodomesticos"/>
    <n v="25000"/>
    <m/>
  </r>
  <r>
    <d v="2023-10-06T00:00:00"/>
    <x v="33"/>
    <s v="Smart TV LG 50 pulgadas"/>
    <n v="1"/>
    <n v="320000"/>
    <x v="33"/>
    <x v="34"/>
    <s v="David Herrera"/>
    <x v="2"/>
    <x v="4"/>
    <x v="1"/>
    <s v="Electronicos"/>
    <n v="250000"/>
    <m/>
  </r>
  <r>
    <d v="2023-10-07T00:00:00"/>
    <x v="34"/>
    <s v="Laptop HP Pavilion"/>
    <n v="3"/>
    <n v="150000"/>
    <x v="26"/>
    <x v="35"/>
    <s v="Alberto Cruz"/>
    <x v="1"/>
    <x v="1"/>
    <x v="1"/>
    <s v="Electronicos"/>
    <n v="110000"/>
    <m/>
  </r>
  <r>
    <d v="2023-10-08T00:00:00"/>
    <x v="35"/>
    <s v="iPhone 14"/>
    <n v="2"/>
    <n v="320000"/>
    <x v="34"/>
    <x v="36"/>
    <s v="Monica Reyes"/>
    <x v="0"/>
    <x v="0"/>
    <x v="0"/>
    <s v="Electronicos"/>
    <n v="250000"/>
    <m/>
  </r>
  <r>
    <d v="2023-10-09T00:00:00"/>
    <x v="36"/>
    <s v="Smart TV Samsung 55&quot;"/>
    <n v="4"/>
    <n v="280000"/>
    <x v="35"/>
    <x v="37"/>
    <s v="Javier Molina"/>
    <x v="2"/>
    <x v="2"/>
    <x v="2"/>
    <s v="Electronicos"/>
    <n v="200000"/>
    <m/>
  </r>
  <r>
    <d v="2023-10-10T00:00:00"/>
    <x v="37"/>
    <s v="Refrigeradora LG"/>
    <n v="2"/>
    <n v="450000"/>
    <x v="36"/>
    <x v="38"/>
    <s v="Patricia Gomez"/>
    <x v="3"/>
    <x v="3"/>
    <x v="1"/>
    <s v="Electrodomesticos"/>
    <n v="320000"/>
    <m/>
  </r>
  <r>
    <d v="2023-10-11T00:00:00"/>
    <x v="38"/>
    <s v="PlayStation 5"/>
    <n v="3"/>
    <n v="390000"/>
    <x v="37"/>
    <x v="39"/>
    <s v="Carlos Vega"/>
    <x v="4"/>
    <x v="4"/>
    <x v="0"/>
    <s v="Electronicos"/>
    <n v="300000"/>
    <m/>
  </r>
  <r>
    <d v="2023-10-12T00:00:00"/>
    <x v="39"/>
    <s v="Lavadora Samsung 18kg"/>
    <n v="2"/>
    <n v="520000"/>
    <x v="38"/>
    <x v="40"/>
    <s v="Luisa Herrera"/>
    <x v="0"/>
    <x v="1"/>
    <x v="2"/>
    <s v="Electrodomesticos"/>
    <n v="380000"/>
    <m/>
  </r>
  <r>
    <d v="2023-10-13T00:00:00"/>
    <x v="40"/>
    <s v="Monitor Gamer ASUS 27&quot;"/>
    <n v="5"/>
    <n v="180000"/>
    <x v="36"/>
    <x v="41"/>
    <s v="Rodrigo Salas"/>
    <x v="1"/>
    <x v="0"/>
    <x v="1"/>
    <s v="Electronicos"/>
    <n v="120000"/>
    <m/>
  </r>
  <r>
    <d v="2023-10-14T00:00:00"/>
    <x v="41"/>
    <s v="Silla Gamer Pro"/>
    <n v="6"/>
    <n v="95000"/>
    <x v="39"/>
    <x v="42"/>
    <s v="Diana Castro"/>
    <x v="2"/>
    <x v="3"/>
    <x v="0"/>
    <s v="Muebles"/>
    <n v="60000"/>
    <m/>
  </r>
  <r>
    <d v="2023-10-15T00:00:00"/>
    <x v="42"/>
    <s v="Tableta iPad Air"/>
    <n v="4"/>
    <n v="250000"/>
    <x v="40"/>
    <x v="43"/>
    <s v="Felipe Torres"/>
    <x v="3"/>
    <x v="2"/>
    <x v="2"/>
    <s v="Electronicos"/>
    <n v="180000"/>
    <m/>
  </r>
  <r>
    <d v="2023-10-16T00:00:00"/>
    <x v="43"/>
    <s v="Aire Acondicionado LG"/>
    <n v="2"/>
    <n v="600000"/>
    <x v="41"/>
    <x v="44"/>
    <s v="Maria Lopez"/>
    <x v="4"/>
    <x v="4"/>
    <x v="1"/>
    <s v="Electrodomesticos"/>
    <n v="450000"/>
    <m/>
  </r>
  <r>
    <d v="2023-10-17T00:00:00"/>
    <x v="44"/>
    <s v="PC Gamer RTX"/>
    <n v="1"/>
    <n v="1500000"/>
    <x v="42"/>
    <x v="45"/>
    <s v="Andres Rios"/>
    <x v="0"/>
    <x v="1"/>
    <x v="0"/>
    <s v="Electronicos"/>
    <n v="1200000"/>
    <m/>
  </r>
  <r>
    <d v="2023-10-18T00:00:00"/>
    <x v="45"/>
    <s v="MacBook Pro 14&quot;"/>
    <n v="2"/>
    <n v="980000"/>
    <x v="43"/>
    <x v="46"/>
    <s v="Sofia Martinez"/>
    <x v="1"/>
    <x v="0"/>
    <x v="2"/>
    <s v="Electronicos"/>
    <n v="800000"/>
    <m/>
  </r>
  <r>
    <d v="2023-10-19T00:00:00"/>
    <x v="46"/>
    <s v="Camara Sony Alpha"/>
    <n v="3"/>
    <n v="420000"/>
    <x v="44"/>
    <x v="47"/>
    <s v="Jose Ramirez"/>
    <x v="2"/>
    <x v="3"/>
    <x v="1"/>
    <s v="Electronicos"/>
    <n v="300000"/>
    <m/>
  </r>
  <r>
    <d v="2023-10-20T00:00:00"/>
    <x v="47"/>
    <s v="Bicicleta Electrica"/>
    <n v="2"/>
    <n v="750000"/>
    <x v="42"/>
    <x v="48"/>
    <s v="Camila Duarte"/>
    <x v="3"/>
    <x v="2"/>
    <x v="0"/>
    <s v="Deportes"/>
    <n v="520000"/>
    <m/>
  </r>
  <r>
    <d v="2023-10-21T00:00:00"/>
    <x v="48"/>
    <s v="Proyector Epson HD"/>
    <n v="4"/>
    <n v="210000"/>
    <x v="45"/>
    <x v="49"/>
    <s v="Diego Navarro"/>
    <x v="4"/>
    <x v="4"/>
    <x v="2"/>
    <s v="Electronicos"/>
    <n v="150000"/>
    <m/>
  </r>
  <r>
    <d v="2023-10-22T00:00:00"/>
    <x v="49"/>
    <s v="Horno Industrial"/>
    <n v="1"/>
    <n v="890000"/>
    <x v="46"/>
    <x v="50"/>
    <s v="Raul Mendoza"/>
    <x v="0"/>
    <x v="1"/>
    <x v="1"/>
    <s v="Electrodomesticos"/>
    <n v="650000"/>
    <m/>
  </r>
  <r>
    <d v="2023-10-23T00:00:00"/>
    <x v="50"/>
    <s v="Servidor NAS Synology"/>
    <n v="2"/>
    <n v="670000"/>
    <x v="47"/>
    <x v="51"/>
    <s v="Gabriel Ponce"/>
    <x v="1"/>
    <x v="0"/>
    <x v="0"/>
    <s v="Tecnologia"/>
    <n v="500000"/>
    <m/>
  </r>
  <r>
    <d v="2023-10-24T00:00:00"/>
    <x v="51"/>
    <s v="Drone DJI Mini 3"/>
    <n v="3"/>
    <n v="350000"/>
    <x v="48"/>
    <x v="52"/>
    <s v="Valeria Ruiz"/>
    <x v="2"/>
    <x v="3"/>
    <x v="2"/>
    <s v="Electronicos"/>
    <n v="250000"/>
    <m/>
  </r>
  <r>
    <d v="2023-10-25T00:00:00"/>
    <x v="52"/>
    <s v="Smart TV OLED LG 65&quot;"/>
    <n v="2"/>
    <n v="1200000"/>
    <x v="49"/>
    <x v="53"/>
    <s v="Hector Silva"/>
    <x v="3"/>
    <x v="2"/>
    <x v="1"/>
    <s v="Electronicos"/>
    <n v="900000"/>
    <m/>
  </r>
  <r>
    <d v="2023-10-26T00:00:00"/>
    <x v="53"/>
    <s v="Consola Xbox Series X"/>
    <n v="3"/>
    <n v="410000"/>
    <x v="50"/>
    <x v="54"/>
    <s v="Elena Torres"/>
    <x v="4"/>
    <x v="4"/>
    <x v="0"/>
    <s v="Electronicos"/>
    <n v="32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4593A-ECEF-1C49-8E39-0BE7F498232A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60:C101" firstHeaderRow="1" firstDataRow="1" firstDataCol="2"/>
  <pivotFields count="14">
    <pivotField compact="0" numFmtId="14" outline="0" showAll="0"/>
    <pivotField axis="axisRow" compact="0" outline="0" showAll="0" sortType="descending">
      <items count="3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6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</pivotFields>
  <rowFields count="2">
    <field x="8"/>
    <field x="1"/>
  </rowFields>
  <rowItems count="41">
    <i>
      <x/>
      <x v="6"/>
    </i>
    <i r="1">
      <x v="16"/>
    </i>
    <i r="1">
      <x v="21"/>
    </i>
    <i r="1">
      <x v="26"/>
    </i>
    <i r="1">
      <x v="31"/>
    </i>
    <i r="1">
      <x v="12"/>
    </i>
    <i r="1">
      <x v="3"/>
    </i>
    <i t="default">
      <x/>
    </i>
    <i>
      <x v="1"/>
      <x v="33"/>
    </i>
    <i r="1">
      <x v="23"/>
    </i>
    <i r="1">
      <x v="27"/>
    </i>
    <i r="1">
      <x v="17"/>
    </i>
    <i r="1">
      <x v="2"/>
    </i>
    <i r="1">
      <x v="11"/>
    </i>
    <i r="1">
      <x v="7"/>
    </i>
    <i t="default">
      <x v="1"/>
    </i>
    <i>
      <x v="2"/>
      <x v="25"/>
    </i>
    <i r="1">
      <x/>
    </i>
    <i r="1">
      <x v="5"/>
    </i>
    <i r="1">
      <x v="15"/>
    </i>
    <i r="1">
      <x v="30"/>
    </i>
    <i r="1">
      <x v="10"/>
    </i>
    <i r="1">
      <x v="20"/>
    </i>
    <i t="default">
      <x v="2"/>
    </i>
    <i>
      <x v="3"/>
      <x v="8"/>
    </i>
    <i r="1">
      <x v="18"/>
    </i>
    <i r="1">
      <x v="22"/>
    </i>
    <i r="1">
      <x v="32"/>
    </i>
    <i r="1">
      <x v="28"/>
    </i>
    <i r="1">
      <x v="13"/>
    </i>
    <i r="1">
      <x v="3"/>
    </i>
    <i t="default">
      <x v="3"/>
    </i>
    <i>
      <x v="4"/>
      <x v="1"/>
    </i>
    <i r="1">
      <x v="4"/>
    </i>
    <i r="1">
      <x v="14"/>
    </i>
    <i r="1">
      <x v="29"/>
    </i>
    <i r="1">
      <x v="19"/>
    </i>
    <i r="1">
      <x v="9"/>
    </i>
    <i r="1">
      <x v="24"/>
    </i>
    <i t="default">
      <x v="4"/>
    </i>
    <i t="grand">
      <x/>
    </i>
  </rowItems>
  <colItems count="1">
    <i/>
  </colItems>
  <dataFields count="1">
    <dataField name="Suma de Total de venta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AED91-2E76-DE45-9255-F310C1711995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Ubicación">
  <location ref="E87:F93" firstHeaderRow="1" firstDataRow="1" firstDataCol="1"/>
  <pivotFields count="15">
    <pivotField numFmtId="14" showAll="0"/>
    <pivotField showAll="0"/>
    <pivotField showAll="0"/>
    <pivotField showAll="0"/>
    <pivotField numFmtId="166" showAll="0"/>
    <pivotField dataField="1" showAll="0">
      <items count="52">
        <item x="4"/>
        <item x="3"/>
        <item x="25"/>
        <item x="21"/>
        <item x="11"/>
        <item x="30"/>
        <item x="8"/>
        <item x="14"/>
        <item x="12"/>
        <item x="13"/>
        <item x="10"/>
        <item x="20"/>
        <item x="2"/>
        <item x="29"/>
        <item x="16"/>
        <item x="18"/>
        <item x="32"/>
        <item x="23"/>
        <item x="31"/>
        <item x="19"/>
        <item x="27"/>
        <item x="6"/>
        <item x="22"/>
        <item x="17"/>
        <item x="7"/>
        <item x="15"/>
        <item x="5"/>
        <item x="9"/>
        <item x="28"/>
        <item x="1"/>
        <item x="0"/>
        <item x="24"/>
        <item x="33"/>
        <item x="26"/>
        <item x="39"/>
        <item x="34"/>
        <item x="45"/>
        <item x="46"/>
        <item x="36"/>
        <item x="40"/>
        <item x="38"/>
        <item x="48"/>
        <item x="35"/>
        <item x="37"/>
        <item x="41"/>
        <item x="50"/>
        <item x="44"/>
        <item x="47"/>
        <item x="42"/>
        <item x="43"/>
        <item x="49"/>
        <item t="default"/>
      </items>
    </pivotField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numFmtId="164" showAll="0"/>
    <pivotField showAll="0"/>
    <pivotField showAll="0" defaultSubtotal="0">
      <items count="3">
        <item x="0"/>
        <item x="1"/>
        <item x="2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otal de venta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CB2C3-84CB-EB4A-8BB4-76074C9EC9EC}" name="TablaDiná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Métodos de Pago">
  <location ref="E60:F69" firstHeaderRow="1" firstDataRow="1" firstDataCol="1"/>
  <pivotFields count="15">
    <pivotField numFmtId="14" showAll="0"/>
    <pivotField showAll="0"/>
    <pivotField showAll="0"/>
    <pivotField showAll="0"/>
    <pivotField numFmtId="166" showAll="0"/>
    <pivotField dataField="1"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numFmtId="164" showAll="0"/>
    <pivotField showAll="0"/>
    <pivotField axis="axisRow" showAll="0">
      <items count="4">
        <item x="0"/>
        <item n="Pago por internet" x="1"/>
        <item n="Pagos bancarios" x="2"/>
        <item t="default"/>
      </items>
    </pivotField>
  </pivotFields>
  <rowFields count="2">
    <field x="14"/>
    <field x="9"/>
  </rowFields>
  <rowItems count="9">
    <i>
      <x/>
    </i>
    <i r="1">
      <x/>
    </i>
    <i>
      <x v="1"/>
    </i>
    <i r="1">
      <x v="1"/>
    </i>
    <i>
      <x v="2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Total de venta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F7AB5-15E7-824E-B558-F91E95437826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ntidad Vendida">
  <location ref="H60:I64" firstHeaderRow="1" firstDataRow="1" firstDataCol="1"/>
  <pivotFields count="13">
    <pivotField numFmtId="14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6"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a de Total de venta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tidad_vendida" xr10:uid="{3495E975-7D34-7845-8000-D6236E5A3CE4}" sourceName="Cantidad vendida">
  <pivotTables>
    <pivotTable tabId="15" name="TablaDinámica6"/>
  </pivotTables>
  <data>
    <tabular pivotCacheId="1512376311">
      <items count="5">
        <i x="1" s="1"/>
        <i x="2" s="1"/>
        <i x="3" s="1"/>
        <i x="0" s="1" nd="1"/>
        <i x="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todo_de_pago2" xr10:uid="{6E0C0C0A-C3A1-CB4C-895E-15D1A6C95BFC}" sourceName="Metodo de pago2">
  <pivotTables>
    <pivotTable tabId="15" name="TablaDinámica10"/>
  </pivotTables>
  <data>
    <tabular pivotCacheId="1216736187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tal_de_venta" xr10:uid="{85AC4729-4E59-284C-9D86-7554EA1CABE7}" sourceName="Total de venta">
  <pivotTables>
    <pivotTable tabId="15" name="TablaDinámica11"/>
  </pivotTables>
  <data>
    <tabular pivotCacheId="1216736187">
      <items count="51">
        <i x="4" s="1"/>
        <i x="3" s="1"/>
        <i x="25" s="1"/>
        <i x="21" s="1"/>
        <i x="11" s="1"/>
        <i x="30" s="1"/>
        <i x="8" s="1"/>
        <i x="14" s="1"/>
        <i x="12" s="1"/>
        <i x="13" s="1"/>
        <i x="10" s="1"/>
        <i x="20" s="1"/>
        <i x="2" s="1"/>
        <i x="29" s="1"/>
        <i x="16" s="1"/>
        <i x="18" s="1"/>
        <i x="32" s="1"/>
        <i x="23" s="1"/>
        <i x="31" s="1"/>
        <i x="19" s="1"/>
        <i x="27" s="1"/>
        <i x="6" s="1"/>
        <i x="22" s="1"/>
        <i x="17" s="1"/>
        <i x="7" s="1"/>
        <i x="15" s="1"/>
        <i x="5" s="1"/>
        <i x="9" s="1"/>
        <i x="28" s="1"/>
        <i x="1" s="1"/>
        <i x="0" s="1"/>
        <i x="24" s="1"/>
        <i x="33" s="1"/>
        <i x="26" s="1"/>
        <i x="39" s="1"/>
        <i x="34" s="1"/>
        <i x="45" s="1"/>
        <i x="46" s="1"/>
        <i x="36" s="1"/>
        <i x="40" s="1"/>
        <i x="38" s="1"/>
        <i x="48" s="1"/>
        <i x="35" s="1"/>
        <i x="37" s="1"/>
        <i x="41" s="1"/>
        <i x="50" s="1"/>
        <i x="44" s="1"/>
        <i x="47" s="1"/>
        <i x="42" s="1"/>
        <i x="43" s="1"/>
        <i x="49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_o_ubicación1" xr10:uid="{288C9523-290B-0F4A-8460-8A049A9A3C12}" sourceName="Region o ubicación">
  <pivotTables>
    <pivotTable tabId="15" name="TablaDinámica11"/>
  </pivotTables>
  <data>
    <tabular pivotCacheId="1216736187">
      <items count="5">
        <i x="3" s="1"/>
        <i x="2" s="1"/>
        <i x="1" s="1"/>
        <i x="4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_o_ubicación" xr10:uid="{D96C2E5C-AA4F-B74A-A61A-639A95D1C62D}" sourceName="Region o ubicación">
  <extLst>
    <x:ext xmlns:x15="http://schemas.microsoft.com/office/spreadsheetml/2010/11/main" uri="{2F2917AC-EB37-4324-AD4E-5DD8C200BD13}">
      <x15:tableSlicerCache tableId="13" column="9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todo_de_pago" xr10:uid="{0B4C9714-B6F1-3645-B7BF-3FFC853B98FE}" sourceName="Metodo de pago">
  <extLst>
    <x:ext xmlns:x15="http://schemas.microsoft.com/office/spreadsheetml/2010/11/main" uri="{2F2917AC-EB37-4324-AD4E-5DD8C200BD13}">
      <x15:tableSlicerCache tableId="13" column="10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del_producto" xr10:uid="{70A51EB1-D485-A142-A6DB-F6A1D6FFD7AA}" sourceName="Categoria del producto">
  <extLst>
    <x:ext xmlns:x15="http://schemas.microsoft.com/office/spreadsheetml/2010/11/main" uri="{2F2917AC-EB37-4324-AD4E-5DD8C200BD13}">
      <x15:tableSlicerCache tableId="13" column="1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tidad vendida" xr10:uid="{B367ADB1-8FA9-7E48-A231-1F16BFB637C5}" cache="SegmentaciónDeDatos_Cantidad_vendida" caption="Cantidad vendida" rowHeight="251883"/>
  <slicer name="Metodo de pago2" xr10:uid="{288E873D-48C5-6048-AF41-5489B7822AA8}" cache="SegmentaciónDeDatos_Metodo_de_pago2" caption="Metodo de pago" rowHeight="251883"/>
  <slicer name="Total de venta" xr10:uid="{B894AE6E-A3F8-8445-A72F-FEBC4AFB2017}" cache="SegmentaciónDeDatos_Total_de_venta" caption="Total de venta" startItem="24" rowHeight="251883"/>
  <slicer name="Region o ubicación 1" xr10:uid="{13C7CD5B-EF2A-BA41-B630-32DBCF9D3385}" cache="SegmentaciónDeDatos_Region_o_ubicación1" caption="Region o ubicación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o ubicación" xr10:uid="{76145113-344E-3644-A186-7F9403F96B1D}" cache="SegmentaciónDeDatos_Region_o_ubicación" caption="Region o ubicación" columnCount="5" rowHeight="251882"/>
  <slicer name="Metodo de pago" xr10:uid="{577DFD3B-8ADC-E642-A647-B112AAB37273}" cache="SegmentaciónDeDatos_Metodo_de_pago" caption="Metodo de pago" rowHeight="251883"/>
  <slicer name="Categoria del producto" xr10:uid="{BF571A5E-324E-4646-BB0B-7C558DA7E1F1}" cache="SegmentaciónDeDatos_Categoria_del_producto" caption="Categoria del producto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todo de pago2 1" xr10:uid="{0075127B-DC9E-C948-805B-BCE5E119871F}" cache="SegmentaciónDeDatos_Metodo_de_pago2" caption="Metodo de pag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BAF5D0-BADA-F54D-8F21-73314F4E84BC}" name="Tabla3" displayName="Tabla3" ref="A1:J10" totalsRowShown="0" headerRowDxfId="81" headerRowBorderDxfId="80" tableBorderDxfId="79" totalsRowBorderDxfId="78">
  <autoFilter ref="A1:J10" xr:uid="{1ABAF5D0-BADA-F54D-8F21-73314F4E84BC}"/>
  <tableColumns count="10">
    <tableColumn id="1" xr3:uid="{1A3F8756-3D7D-1F45-BED6-58D986406749}" name="Columna1" dataDxfId="77"/>
    <tableColumn id="2" xr3:uid="{CD133559-B67F-8645-BA9B-0E33E0E7DFC9}" name="1" dataDxfId="76">
      <calculatedColumnFormula>$A2*B$1</calculatedColumnFormula>
    </tableColumn>
    <tableColumn id="3" xr3:uid="{064FD94B-0AE6-C148-974D-38CDAE51A677}" name="2" dataDxfId="75">
      <calculatedColumnFormula>$A2*C$1</calculatedColumnFormula>
    </tableColumn>
    <tableColumn id="4" xr3:uid="{A6A8979E-48A0-4A41-ADE3-16D688E44BCB}" name="3" dataDxfId="74">
      <calculatedColumnFormula>$A2*D$1</calculatedColumnFormula>
    </tableColumn>
    <tableColumn id="5" xr3:uid="{9367381A-1D71-A540-BDD5-EBE59A00591E}" name="4" dataDxfId="73">
      <calculatedColumnFormula>$A2*E$1</calculatedColumnFormula>
    </tableColumn>
    <tableColumn id="6" xr3:uid="{499A0CB8-CF2A-484A-A83C-57B5D8FE79F7}" name="5" dataDxfId="72">
      <calculatedColumnFormula>$A2*F$1</calculatedColumnFormula>
    </tableColumn>
    <tableColumn id="7" xr3:uid="{7F645C03-4097-A541-B9F5-1C3B30C81B55}" name="6" dataDxfId="71">
      <calculatedColumnFormula>$A2*G$1</calculatedColumnFormula>
    </tableColumn>
    <tableColumn id="8" xr3:uid="{AEB9D73C-9788-E44A-AA3D-403480151957}" name="7" dataDxfId="70">
      <calculatedColumnFormula>$A2*H$1</calculatedColumnFormula>
    </tableColumn>
    <tableColumn id="9" xr3:uid="{2C4F1166-3740-0342-BB6D-5DD807353F55}" name="8" dataDxfId="69">
      <calculatedColumnFormula>$A2*I$1</calculatedColumnFormula>
    </tableColumn>
    <tableColumn id="10" xr3:uid="{404EDDDC-456D-8742-BA70-435B6FEBFD6B}" name="9" dataDxfId="68">
      <calculatedColumnFormula>$A2*J$1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240EA-7A6E-F448-9CC5-B35E889EB5D1}" name="Tabla4" displayName="Tabla4" ref="A14:J23" totalsRowShown="0" headerRowDxfId="67" tableBorderDxfId="66">
  <autoFilter ref="A14:J23" xr:uid="{EBE240EA-7A6E-F448-9CC5-B35E889EB5D1}"/>
  <tableColumns count="10">
    <tableColumn id="1" xr3:uid="{8C50C573-B738-DF40-B06E-695068406C1A}" name="Columna1" dataDxfId="65"/>
    <tableColumn id="2" xr3:uid="{2D2EA406-A470-CC4D-93C5-D17CBA1BFA86}" name="1" dataDxfId="64">
      <calculatedColumnFormula>$A15*B$14*$L$3</calculatedColumnFormula>
    </tableColumn>
    <tableColumn id="3" xr3:uid="{3843B76A-2E3A-304C-984F-7F070A143998}" name="2" dataDxfId="63">
      <calculatedColumnFormula>$A15*C$14*$L$3</calculatedColumnFormula>
    </tableColumn>
    <tableColumn id="4" xr3:uid="{6E818282-EAF9-134E-9439-5ED496BA6E68}" name="3" dataDxfId="62">
      <calculatedColumnFormula>$A15*D$14*$L$3</calculatedColumnFormula>
    </tableColumn>
    <tableColumn id="5" xr3:uid="{6451F4BD-66F2-C346-93A1-E3E1057E92CF}" name="4" dataDxfId="61">
      <calculatedColumnFormula>$A15*E$14*$L$3</calculatedColumnFormula>
    </tableColumn>
    <tableColumn id="6" xr3:uid="{BA6DCA11-237A-984F-8DFB-1E7700C507FF}" name="5" dataDxfId="60">
      <calculatedColumnFormula>$A15*F$14*$L$3</calculatedColumnFormula>
    </tableColumn>
    <tableColumn id="7" xr3:uid="{41C4ECEE-72C3-384D-9745-1A1631B59DF2}" name="6" dataDxfId="59">
      <calculatedColumnFormula>$A15*G$14*$L$3</calculatedColumnFormula>
    </tableColumn>
    <tableColumn id="8" xr3:uid="{08366051-9D22-F842-A259-B7CD7AE6505F}" name="7" dataDxfId="58">
      <calculatedColumnFormula>$A15*H$14*$L$3</calculatedColumnFormula>
    </tableColumn>
    <tableColumn id="9" xr3:uid="{B8508FD7-01FC-1A46-BDA5-32AD4CAA06DF}" name="8" dataDxfId="57">
      <calculatedColumnFormula>$A15*I$14*$L$3</calculatedColumnFormula>
    </tableColumn>
    <tableColumn id="10" xr3:uid="{17DD4259-03DE-464F-B589-55CDAEB0353A}" name="9" dataDxfId="56">
      <calculatedColumnFormula>$A15*J$14*$L$3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739940-42EF-B74E-BBAC-39B2A837E657}" name="Tabla5" displayName="Tabla5" ref="A28:J37" totalsRowShown="0" headerRowDxfId="55" headerRowBorderDxfId="54" tableBorderDxfId="53" totalsRowBorderDxfId="52">
  <autoFilter ref="A28:J37" xr:uid="{D0739940-42EF-B74E-BBAC-39B2A837E657}"/>
  <tableColumns count="10">
    <tableColumn id="1" xr3:uid="{78B90A67-4589-4D47-A74F-AFC3F65C96C7}" name="Columna1" dataDxfId="51"/>
    <tableColumn id="2" xr3:uid="{B3CC4081-4689-1B46-8FB1-63A3E3F405EF}" name="1" dataDxfId="50">
      <calculatedColumnFormula>$A29*B$28*$L$29</calculatedColumnFormula>
    </tableColumn>
    <tableColumn id="3" xr3:uid="{ADCC9D8E-496A-D845-AB3C-FD53D4B477BC}" name="2" dataDxfId="49">
      <calculatedColumnFormula>$A29*C$28*$L$29</calculatedColumnFormula>
    </tableColumn>
    <tableColumn id="4" xr3:uid="{08931375-F7B8-DB43-8256-3FFA71819C1C}" name="3" dataDxfId="48">
      <calculatedColumnFormula>$A29*D$28*$L$29</calculatedColumnFormula>
    </tableColumn>
    <tableColumn id="5" xr3:uid="{6A76E068-D9B6-3C4F-A1C0-A294958EE490}" name="4" dataDxfId="47">
      <calculatedColumnFormula>$A29*E$28*$L$29</calculatedColumnFormula>
    </tableColumn>
    <tableColumn id="6" xr3:uid="{EFBA8631-DD67-B141-8816-888D17B40630}" name="5" dataDxfId="46">
      <calculatedColumnFormula>$A29*F$28*$L$29</calculatedColumnFormula>
    </tableColumn>
    <tableColumn id="7" xr3:uid="{3959BAC1-FAB3-B444-82C6-EEC3FE278445}" name="6" dataDxfId="45">
      <calculatedColumnFormula>$A29*G$28*$L$29</calculatedColumnFormula>
    </tableColumn>
    <tableColumn id="8" xr3:uid="{2B3E3548-496B-7A41-B69F-4650B4B9DE2D}" name="7" dataDxfId="44">
      <calculatedColumnFormula>$A29*H$28*$L$29</calculatedColumnFormula>
    </tableColumn>
    <tableColumn id="9" xr3:uid="{AFC4E6E9-2209-F244-953C-59FCD447A9F8}" name="8" dataDxfId="43">
      <calculatedColumnFormula>$A29*I$28*$L$29</calculatedColumnFormula>
    </tableColumn>
    <tableColumn id="10" xr3:uid="{9D13B411-04E0-8544-9E5A-AC5DA7D7A135}" name="9" dataDxfId="42">
      <calculatedColumnFormula>$A29*J$28*$L$29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009A99-DB2B-F34B-84D9-8383FCEE0029}" name="Tabla6" displayName="Tabla6" ref="B1:F31" totalsRowShown="0" headerRowDxfId="41" headerRowBorderDxfId="40" tableBorderDxfId="39" totalsRowBorderDxfId="38">
  <autoFilter ref="B1:F31" xr:uid="{BC009A99-DB2B-F34B-84D9-8383FCEE0029}"/>
  <tableColumns count="5">
    <tableColumn id="1" xr3:uid="{D924C4C3-8EF5-6C43-B93D-A0CBB83FE116}" name="ID VENDEDOR " dataDxfId="37"/>
    <tableColumn id="2" xr3:uid="{9FB3DE36-5CEA-C04A-8E10-B907D92A7298}" name="TOTAL " dataDxfId="36"/>
    <tableColumn id="3" xr3:uid="{E8549B3B-889B-4E4F-AE6F-18BA54EC654B}" name="PROMEDIO " dataDxfId="35">
      <calculatedColumnFormula>$J$4</calculatedColumnFormula>
    </tableColumn>
    <tableColumn id="4" xr3:uid="{51E7AD37-19AD-B340-9605-2158468AA7D7}" name="Linf" dataDxfId="34">
      <calculatedColumnFormula>$J$8</calculatedColumnFormula>
    </tableColumn>
    <tableColumn id="5" xr3:uid="{2C207653-E3B0-5746-AA68-45289051A299}" name="Lsup" dataDxfId="33">
      <calculatedColumnFormula>$J$9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F21427-3DE1-9941-9DEA-9835C484671A}" name="Tabla2" displayName="Tabla2" ref="B1:G31" totalsRowShown="0" headerRowDxfId="1" dataDxfId="0" headerRowBorderDxfId="84" tableBorderDxfId="83" totalsRowBorderDxfId="82">
  <autoFilter ref="B1:G31" xr:uid="{0AF21427-3DE1-9941-9DEA-9835C484671A}"/>
  <tableColumns count="6">
    <tableColumn id="1" xr3:uid="{A6F84F24-6AF8-9A41-A623-1C1C39B06E67}" name="ID VENDEDOR " dataDxfId="7"/>
    <tableColumn id="2" xr3:uid="{1E14D249-C60B-6D48-9610-F2475613BA17}" name="TOTAL " dataDxfId="6"/>
    <tableColumn id="3" xr3:uid="{CB7FFD98-90C9-C147-860D-2C5C7A65FC5A}" name="PROMEDIO " dataDxfId="5"/>
    <tableColumn id="4" xr3:uid="{57941758-C3C7-C345-80BB-19AFE10688D0}" name="Desviación" dataDxfId="4">
      <calculatedColumnFormula>STDEV(C$2:C$31)</calculatedColumnFormula>
    </tableColumn>
    <tableColumn id="5" xr3:uid="{095607F8-3550-6D4B-AC8C-F736AD7A86B0}" name="Zcore" dataDxfId="3">
      <calculatedColumnFormula>(C2-D2)/E2</calculatedColumnFormula>
    </tableColumn>
    <tableColumn id="6" xr3:uid="{E9DA40E9-1412-7344-A8E0-BEC42399E9A2}" name="Columna 1" dataDxfId="2">
      <calculatedColumnFormula>IF(ABS(F2)&gt;3,"Atípico"," ")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6BC59-B64C-AD42-86B3-0CB81433D036}" name="Empleados" displayName="Empleados" ref="A1:C6" totalsRowShown="0">
  <autoFilter ref="A1:C6" xr:uid="{97F6BC59-B64C-AD42-86B3-0CB81433D036}"/>
  <tableColumns count="3">
    <tableColumn id="1" xr3:uid="{D4590ADB-F5F0-6447-8D01-4F2B7B1F5E31}" name="Código empleado" dataDxfId="32"/>
    <tableColumn id="2" xr3:uid="{C54E5CC1-197C-5444-97FE-980919A91B25}" name="Nombre"/>
    <tableColumn id="3" xr3:uid="{67B9DE3C-EAD4-E249-827A-919D87B8B0F6}" name="Edad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0885A7-2FF6-C346-9BBA-06BCDC34A49E}" name="Tabla13" displayName="Tabla13" ref="A1:N56" totalsRowShown="0" headerRowDxfId="31" dataDxfId="30">
  <autoFilter ref="A1:N56" xr:uid="{FD0885A7-2FF6-C346-9BBA-06BCDC34A49E}"/>
  <tableColumns count="14">
    <tableColumn id="1" xr3:uid="{538EBB6F-86F9-5F41-9110-93E817AE8F35}" name="Fecha de venta" dataDxfId="29"/>
    <tableColumn id="2" xr3:uid="{78028634-B292-7743-AD21-B082A07342C7}" name="ID  del producto " dataDxfId="28"/>
    <tableColumn id="3" xr3:uid="{8DAFF0B1-DC5A-2E47-A7C1-FC4829E5BC0F}" name="Nombre del producto" dataDxfId="27"/>
    <tableColumn id="4" xr3:uid="{1A7509DC-B58E-1F45-8137-44288DA819F4}" name="Cantidad vendida" dataDxfId="26"/>
    <tableColumn id="5" xr3:uid="{CAE1BCB0-2A0E-B74A-9547-CA7C9F51CAE8}" name="Precio unitario" dataDxfId="25"/>
    <tableColumn id="6" xr3:uid="{45C3CEB2-34C8-DA46-9590-26E5956A2225}" name="Total de venta" dataDxfId="24"/>
    <tableColumn id="7" xr3:uid="{77E90A44-A4E2-3547-A19B-204E306F0047}" name="ID del cliente" dataDxfId="23"/>
    <tableColumn id="8" xr3:uid="{5CB1521C-C20A-9046-8915-B926B33352FF}" name="Nombre del cliente" dataDxfId="22"/>
    <tableColumn id="9" xr3:uid="{F3781706-A442-CB45-A614-CADBF9F2EFA6}" name="Region o ubicación" dataDxfId="21"/>
    <tableColumn id="10" xr3:uid="{CB2163D6-3068-B745-8D1F-438DC8AD67AF}" name="Metodo de pago" dataDxfId="20"/>
    <tableColumn id="11" xr3:uid="{F6B450A7-616C-F64A-A085-39ED47F0DBA6}" name="Vendedor" dataDxfId="19"/>
    <tableColumn id="12" xr3:uid="{AFA62CF6-F2A7-2C41-9D04-10BCE03DF668}" name="Categoria del producto" dataDxfId="18"/>
    <tableColumn id="13" xr3:uid="{55B83CAD-7419-FB46-B86B-ED1D2DB004A5}" name="Costo del producto"/>
    <tableColumn id="14" xr3:uid="{C8E2D2E3-E1DD-CE4D-9D03-C3959083E8DB}" name="Margen de beneficio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56C20D-C06E-494B-98D3-2DF4E0FDE196}" name="Tabla7" displayName="Tabla7" ref="A2:C9" totalsRowShown="0">
  <autoFilter ref="A2:C9" xr:uid="{5956C20D-C06E-494B-98D3-2DF4E0FDE196}"/>
  <tableColumns count="3">
    <tableColumn id="1" xr3:uid="{B8166070-E578-2A4D-B713-C2A41A4830E4}" name="Nombre"/>
    <tableColumn id="2" xr3:uid="{1BBB1D33-23ED-7244-B718-6DD494DFC300}" name="Edad"/>
    <tableColumn id="3" xr3:uid="{48CED272-E7F7-8C40-BBA3-E6083CD1C0CC}" name="Valor Compra" dataDxfId="16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B5ACFA-B0A8-EA43-8A4C-3BB6A3597D32}" name="ProductosStock" displayName="ProductosStock" ref="A1:C8" totalsRowShown="0" headerRowDxfId="15" dataDxfId="14" tableBorderDxfId="13">
  <autoFilter ref="A1:C8" xr:uid="{1EB5ACFA-B0A8-EA43-8A4C-3BB6A3597D32}"/>
  <tableColumns count="3">
    <tableColumn id="1" xr3:uid="{ECA276F8-C6A4-7848-8575-DD13EC8C7208}" name="Producto " dataDxfId="12"/>
    <tableColumn id="2" xr3:uid="{DBC051E7-E85B-564A-8204-372BF233BE17}" name="Color " dataDxfId="11"/>
    <tableColumn id="3" xr3:uid="{67AE1009-0600-E64D-8800-79E652AD2653}" name="Stock " dataDxfId="1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1DD86B-7C5A-064F-807D-9CE0D37B96E3}" name="Ventas" displayName="Ventas" ref="A1:C4" totalsRowShown="0">
  <autoFilter ref="A1:C4" xr:uid="{EB1DD86B-7C5A-064F-807D-9CE0D37B96E3}"/>
  <tableColumns count="3">
    <tableColumn id="1" xr3:uid="{78093F71-A494-4A43-B430-14B7C6E32C16}" name="ID DEL PRODUCTO"/>
    <tableColumn id="2" xr3:uid="{1644C8E7-9414-974A-AE8A-CDBEEA8ACEF6}" name="ID DEL VENDEDOR"/>
    <tableColumn id="3" xr3:uid="{7EE3596B-C031-2543-9CF0-671F4E4A2FBD}" name="TOTAL VENTA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368CEF-3FD8-EB42-9187-C85BE56ACCAF}" name="Productos" displayName="Productos" ref="E1:F4" totalsRowShown="0">
  <autoFilter ref="E1:F4" xr:uid="{C0368CEF-3FD8-EB42-9187-C85BE56ACCAF}"/>
  <tableColumns count="2">
    <tableColumn id="1" xr3:uid="{842FE82A-DC41-6742-8F03-CC4A4500272B}" name="ID PRODUCTO" dataDxfId="9"/>
    <tableColumn id="2" xr3:uid="{9BD6E39A-FB59-FC47-8120-0D745DA2539B}" name="NOMBRE 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4EAC2B-4089-1F49-B9FC-55FF1C24905E}" name="Vendedores" displayName="Vendedores" ref="H1:J4" totalsRowShown="0">
  <autoFilter ref="H1:J4" xr:uid="{9D4EAC2B-4089-1F49-B9FC-55FF1C24905E}"/>
  <tableColumns count="3">
    <tableColumn id="1" xr3:uid="{196D9F6E-75CD-4143-905A-47D63DCC3FAD}" name="ID VENDEDOR" dataDxfId="8"/>
    <tableColumn id="2" xr3:uid="{351CA097-436B-DA40-8EFE-83E43F81C8A8}" name="NOMBRE"/>
    <tableColumn id="3" xr3:uid="{6069D671-72DD-834B-BD63-1A16BA27BC1F}" name="ID Region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D3F2D79-DBD5-F84E-AE0D-EFE7F3A202B6}" name="Region" displayName="Region" ref="L1:M4" totalsRowShown="0">
  <autoFilter ref="L1:M4" xr:uid="{2D3F2D79-DBD5-F84E-AE0D-EFE7F3A202B6}"/>
  <tableColumns count="2">
    <tableColumn id="1" xr3:uid="{83FA45C6-0B7B-A24F-9DED-9CFCF1A489A7}" name="ID Region"/>
    <tableColumn id="2" xr3:uid="{697CCE0A-62F3-D948-A439-4640B59373C3}" name="Descripció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10E91A-A1FD-314B-8E11-0C2DB802A31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02cb095-5822-4ab1-b70d-8fa2b4c462e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7.xml"/><Relationship Id="rId5" Type="http://schemas.openxmlformats.org/officeDocument/2006/relationships/drawing" Target="../drawings/drawing8.xml"/><Relationship Id="rId4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5407-FB20-5949-8039-F7C2EE1D762E}">
  <sheetPr codeName="Sheet1"/>
  <dimension ref="A1:AR40"/>
  <sheetViews>
    <sheetView zoomScale="50" workbookViewId="0">
      <selection activeCell="H18" sqref="H18"/>
    </sheetView>
  </sheetViews>
  <sheetFormatPr baseColWidth="10" defaultRowHeight="16" x14ac:dyDescent="0.2"/>
  <cols>
    <col min="1" max="1" width="12" customWidth="1"/>
    <col min="2" max="2" width="11.33203125" bestFit="1" customWidth="1"/>
  </cols>
  <sheetData>
    <row r="1" spans="1:12" x14ac:dyDescent="0.2">
      <c r="A1" s="18" t="s">
        <v>32</v>
      </c>
      <c r="B1" s="21" t="s">
        <v>33</v>
      </c>
      <c r="C1" s="21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2" t="s">
        <v>41</v>
      </c>
    </row>
    <row r="2" spans="1:12" x14ac:dyDescent="0.2">
      <c r="A2" s="19">
        <v>1</v>
      </c>
      <c r="B2" s="1">
        <f>$A2*B$1</f>
        <v>1</v>
      </c>
      <c r="C2" s="1">
        <f t="shared" ref="C2:J2" si="0">$A2*C$1</f>
        <v>2</v>
      </c>
      <c r="D2" s="1">
        <f t="shared" si="0"/>
        <v>3</v>
      </c>
      <c r="E2" s="1">
        <f t="shared" si="0"/>
        <v>4</v>
      </c>
      <c r="F2" s="1">
        <f t="shared" si="0"/>
        <v>5</v>
      </c>
      <c r="G2" s="1">
        <f t="shared" si="0"/>
        <v>6</v>
      </c>
      <c r="H2" s="1">
        <f t="shared" si="0"/>
        <v>7</v>
      </c>
      <c r="I2" s="1">
        <f t="shared" si="0"/>
        <v>8</v>
      </c>
      <c r="J2" s="20">
        <f t="shared" si="0"/>
        <v>9</v>
      </c>
      <c r="L2" s="4" t="s">
        <v>0</v>
      </c>
    </row>
    <row r="3" spans="1:12" x14ac:dyDescent="0.2">
      <c r="A3" s="19">
        <v>2</v>
      </c>
      <c r="B3" s="1">
        <f t="shared" ref="B3:J10" si="1">$A3*B$1</f>
        <v>2</v>
      </c>
      <c r="C3" s="1">
        <f t="shared" si="1"/>
        <v>4</v>
      </c>
      <c r="D3" s="1">
        <f t="shared" si="1"/>
        <v>6</v>
      </c>
      <c r="E3" s="1">
        <f t="shared" si="1"/>
        <v>8</v>
      </c>
      <c r="F3" s="1">
        <f t="shared" si="1"/>
        <v>10</v>
      </c>
      <c r="G3" s="1">
        <f t="shared" si="1"/>
        <v>12</v>
      </c>
      <c r="H3" s="1">
        <f t="shared" si="1"/>
        <v>14</v>
      </c>
      <c r="I3" s="1">
        <f t="shared" si="1"/>
        <v>16</v>
      </c>
      <c r="J3" s="20">
        <f t="shared" si="1"/>
        <v>18</v>
      </c>
      <c r="L3" s="5">
        <v>200</v>
      </c>
    </row>
    <row r="4" spans="1:12" x14ac:dyDescent="0.2">
      <c r="A4" s="19">
        <v>3</v>
      </c>
      <c r="B4" s="1">
        <f t="shared" si="1"/>
        <v>3</v>
      </c>
      <c r="C4" s="1">
        <f t="shared" si="1"/>
        <v>6</v>
      </c>
      <c r="D4" s="1">
        <f t="shared" si="1"/>
        <v>9</v>
      </c>
      <c r="E4" s="1">
        <f t="shared" si="1"/>
        <v>12</v>
      </c>
      <c r="F4" s="1">
        <f t="shared" si="1"/>
        <v>15</v>
      </c>
      <c r="G4" s="1">
        <f t="shared" si="1"/>
        <v>18</v>
      </c>
      <c r="H4" s="1">
        <f t="shared" si="1"/>
        <v>21</v>
      </c>
      <c r="I4" s="1">
        <f t="shared" si="1"/>
        <v>24</v>
      </c>
      <c r="J4" s="20">
        <f t="shared" si="1"/>
        <v>27</v>
      </c>
      <c r="L4" s="5"/>
    </row>
    <row r="5" spans="1:12" x14ac:dyDescent="0.2">
      <c r="A5" s="19">
        <v>4</v>
      </c>
      <c r="B5" s="1">
        <f t="shared" si="1"/>
        <v>4</v>
      </c>
      <c r="C5" s="1">
        <f t="shared" si="1"/>
        <v>8</v>
      </c>
      <c r="D5" s="1">
        <f t="shared" si="1"/>
        <v>12</v>
      </c>
      <c r="E5" s="1">
        <f t="shared" si="1"/>
        <v>16</v>
      </c>
      <c r="F5" s="1">
        <f t="shared" si="1"/>
        <v>20</v>
      </c>
      <c r="G5" s="1">
        <f t="shared" si="1"/>
        <v>24</v>
      </c>
      <c r="H5" s="1">
        <f t="shared" si="1"/>
        <v>28</v>
      </c>
      <c r="I5" s="1">
        <f t="shared" si="1"/>
        <v>32</v>
      </c>
      <c r="J5" s="20">
        <f t="shared" si="1"/>
        <v>36</v>
      </c>
      <c r="L5" s="5"/>
    </row>
    <row r="6" spans="1:12" x14ac:dyDescent="0.2">
      <c r="A6" s="19">
        <v>5</v>
      </c>
      <c r="B6" s="1">
        <f t="shared" si="1"/>
        <v>5</v>
      </c>
      <c r="C6" s="1">
        <f t="shared" si="1"/>
        <v>10</v>
      </c>
      <c r="D6" s="1">
        <f t="shared" si="1"/>
        <v>15</v>
      </c>
      <c r="E6" s="1">
        <f t="shared" si="1"/>
        <v>20</v>
      </c>
      <c r="F6" s="1">
        <f t="shared" si="1"/>
        <v>25</v>
      </c>
      <c r="G6" s="1">
        <f t="shared" si="1"/>
        <v>30</v>
      </c>
      <c r="H6" s="1">
        <f t="shared" si="1"/>
        <v>35</v>
      </c>
      <c r="I6" s="1">
        <f t="shared" si="1"/>
        <v>40</v>
      </c>
      <c r="J6" s="20">
        <f t="shared" si="1"/>
        <v>45</v>
      </c>
      <c r="L6" s="5"/>
    </row>
    <row r="7" spans="1:12" x14ac:dyDescent="0.2">
      <c r="A7" s="19">
        <v>6</v>
      </c>
      <c r="B7" s="1">
        <f t="shared" si="1"/>
        <v>6</v>
      </c>
      <c r="C7" s="1">
        <f t="shared" si="1"/>
        <v>12</v>
      </c>
      <c r="D7" s="1">
        <f t="shared" si="1"/>
        <v>18</v>
      </c>
      <c r="E7" s="1">
        <f t="shared" si="1"/>
        <v>24</v>
      </c>
      <c r="F7" s="1">
        <f t="shared" si="1"/>
        <v>30</v>
      </c>
      <c r="G7" s="1">
        <f t="shared" si="1"/>
        <v>36</v>
      </c>
      <c r="H7" s="1">
        <f t="shared" si="1"/>
        <v>42</v>
      </c>
      <c r="I7" s="1">
        <f t="shared" si="1"/>
        <v>48</v>
      </c>
      <c r="J7" s="20">
        <f t="shared" si="1"/>
        <v>54</v>
      </c>
      <c r="L7" s="5"/>
    </row>
    <row r="8" spans="1:12" x14ac:dyDescent="0.2">
      <c r="A8" s="19">
        <v>7</v>
      </c>
      <c r="B8" s="1">
        <f t="shared" si="1"/>
        <v>7</v>
      </c>
      <c r="C8" s="1">
        <f t="shared" si="1"/>
        <v>14</v>
      </c>
      <c r="D8" s="1">
        <f t="shared" si="1"/>
        <v>21</v>
      </c>
      <c r="E8" s="1">
        <f t="shared" si="1"/>
        <v>28</v>
      </c>
      <c r="F8" s="1">
        <f t="shared" si="1"/>
        <v>35</v>
      </c>
      <c r="G8" s="1">
        <f t="shared" si="1"/>
        <v>42</v>
      </c>
      <c r="H8" s="1">
        <f t="shared" si="1"/>
        <v>49</v>
      </c>
      <c r="I8" s="1">
        <f t="shared" si="1"/>
        <v>56</v>
      </c>
      <c r="J8" s="20">
        <f t="shared" si="1"/>
        <v>63</v>
      </c>
      <c r="L8" s="5"/>
    </row>
    <row r="9" spans="1:12" x14ac:dyDescent="0.2">
      <c r="A9" s="19">
        <v>8</v>
      </c>
      <c r="B9" s="1">
        <f t="shared" si="1"/>
        <v>8</v>
      </c>
      <c r="C9" s="1">
        <f t="shared" si="1"/>
        <v>16</v>
      </c>
      <c r="D9" s="1">
        <f t="shared" si="1"/>
        <v>24</v>
      </c>
      <c r="E9" s="1">
        <f t="shared" si="1"/>
        <v>32</v>
      </c>
      <c r="F9" s="1">
        <f t="shared" si="1"/>
        <v>40</v>
      </c>
      <c r="G9" s="1">
        <f t="shared" si="1"/>
        <v>48</v>
      </c>
      <c r="H9" s="1">
        <f t="shared" si="1"/>
        <v>56</v>
      </c>
      <c r="I9" s="1">
        <f t="shared" si="1"/>
        <v>64</v>
      </c>
      <c r="J9" s="20">
        <f t="shared" si="1"/>
        <v>72</v>
      </c>
      <c r="L9" s="5"/>
    </row>
    <row r="10" spans="1:12" x14ac:dyDescent="0.2">
      <c r="A10" s="23">
        <v>9</v>
      </c>
      <c r="B10" s="24">
        <f t="shared" si="1"/>
        <v>9</v>
      </c>
      <c r="C10" s="24">
        <f t="shared" si="1"/>
        <v>18</v>
      </c>
      <c r="D10" s="24">
        <f t="shared" si="1"/>
        <v>27</v>
      </c>
      <c r="E10" s="24">
        <f t="shared" si="1"/>
        <v>36</v>
      </c>
      <c r="F10" s="24">
        <f t="shared" si="1"/>
        <v>45</v>
      </c>
      <c r="G10" s="24">
        <f t="shared" si="1"/>
        <v>54</v>
      </c>
      <c r="H10" s="24">
        <f t="shared" si="1"/>
        <v>63</v>
      </c>
      <c r="I10" s="24">
        <f t="shared" si="1"/>
        <v>72</v>
      </c>
      <c r="J10" s="17">
        <f t="shared" si="1"/>
        <v>81</v>
      </c>
      <c r="L10" s="5"/>
    </row>
    <row r="11" spans="1:12" x14ac:dyDescent="0.2">
      <c r="L11" s="5"/>
    </row>
    <row r="12" spans="1:12" x14ac:dyDescent="0.2">
      <c r="B12" t="s">
        <v>3</v>
      </c>
      <c r="L12" s="5"/>
    </row>
    <row r="13" spans="1:12" x14ac:dyDescent="0.2">
      <c r="L13" s="5"/>
    </row>
    <row r="14" spans="1:12" x14ac:dyDescent="0.2">
      <c r="A14" t="s">
        <v>32</v>
      </c>
      <c r="B14" s="2" t="s">
        <v>33</v>
      </c>
      <c r="C14" s="3" t="s">
        <v>34</v>
      </c>
      <c r="D14" s="2" t="s">
        <v>35</v>
      </c>
      <c r="E14" s="2" t="s">
        <v>36</v>
      </c>
      <c r="F14" s="2" t="s">
        <v>37</v>
      </c>
      <c r="G14" s="2" t="s">
        <v>38</v>
      </c>
      <c r="H14" s="2" t="s">
        <v>39</v>
      </c>
      <c r="I14" s="2" t="s">
        <v>40</v>
      </c>
      <c r="J14" s="16" t="s">
        <v>41</v>
      </c>
      <c r="L14" s="5"/>
    </row>
    <row r="15" spans="1:12" x14ac:dyDescent="0.2">
      <c r="A15" s="2">
        <v>1</v>
      </c>
      <c r="B15" s="1">
        <f>$A15*B$14*$L$3</f>
        <v>200</v>
      </c>
      <c r="C15" s="1">
        <f t="shared" ref="C15:J23" si="2">$A15*C$14*$L$3</f>
        <v>400</v>
      </c>
      <c r="D15" s="1">
        <f t="shared" si="2"/>
        <v>600</v>
      </c>
      <c r="E15" s="1">
        <f t="shared" si="2"/>
        <v>800</v>
      </c>
      <c r="F15" s="1">
        <f t="shared" si="2"/>
        <v>1000</v>
      </c>
      <c r="G15" s="1">
        <f t="shared" si="2"/>
        <v>1200</v>
      </c>
      <c r="H15" s="1">
        <f t="shared" si="2"/>
        <v>1400</v>
      </c>
      <c r="I15" s="1">
        <f>$A15*I$14*$L$3</f>
        <v>1600</v>
      </c>
      <c r="J15" s="20">
        <f t="shared" si="2"/>
        <v>1800</v>
      </c>
      <c r="L15" s="5"/>
    </row>
    <row r="16" spans="1:12" x14ac:dyDescent="0.2">
      <c r="A16" s="2">
        <v>2</v>
      </c>
      <c r="B16" s="1">
        <f t="shared" ref="B16:B23" si="3">$A16*B$14*$L$3</f>
        <v>400</v>
      </c>
      <c r="C16" s="1">
        <f t="shared" si="2"/>
        <v>800</v>
      </c>
      <c r="D16" s="1">
        <f t="shared" si="2"/>
        <v>1200</v>
      </c>
      <c r="E16" s="1">
        <f t="shared" si="2"/>
        <v>1600</v>
      </c>
      <c r="F16" s="1">
        <f t="shared" si="2"/>
        <v>2000</v>
      </c>
      <c r="G16" s="1">
        <f t="shared" si="2"/>
        <v>2400</v>
      </c>
      <c r="H16" s="1">
        <f t="shared" si="2"/>
        <v>2800</v>
      </c>
      <c r="I16" s="1">
        <f t="shared" si="2"/>
        <v>3200</v>
      </c>
      <c r="J16" s="20">
        <f t="shared" si="2"/>
        <v>3600</v>
      </c>
      <c r="L16" s="5"/>
    </row>
    <row r="17" spans="1:44" x14ac:dyDescent="0.2">
      <c r="A17" s="2">
        <v>3</v>
      </c>
      <c r="B17" s="1">
        <f t="shared" si="3"/>
        <v>600</v>
      </c>
      <c r="C17" s="1">
        <f t="shared" si="2"/>
        <v>1200</v>
      </c>
      <c r="D17" s="1">
        <f t="shared" si="2"/>
        <v>1800</v>
      </c>
      <c r="E17" s="1">
        <f t="shared" si="2"/>
        <v>2400</v>
      </c>
      <c r="F17" s="1">
        <f t="shared" si="2"/>
        <v>3000</v>
      </c>
      <c r="G17" s="1">
        <f t="shared" si="2"/>
        <v>3600</v>
      </c>
      <c r="H17" s="1">
        <f t="shared" si="2"/>
        <v>4200</v>
      </c>
      <c r="I17" s="1">
        <f t="shared" si="2"/>
        <v>4800</v>
      </c>
      <c r="J17" s="20">
        <f t="shared" si="2"/>
        <v>5400</v>
      </c>
      <c r="L17" s="5"/>
    </row>
    <row r="18" spans="1:44" x14ac:dyDescent="0.2">
      <c r="A18" s="2">
        <v>4</v>
      </c>
      <c r="B18" s="1">
        <f t="shared" si="3"/>
        <v>800</v>
      </c>
      <c r="C18" s="1">
        <f t="shared" si="2"/>
        <v>1600</v>
      </c>
      <c r="D18" s="1">
        <f t="shared" si="2"/>
        <v>2400</v>
      </c>
      <c r="E18" s="1">
        <f t="shared" si="2"/>
        <v>3200</v>
      </c>
      <c r="F18" s="1">
        <f t="shared" si="2"/>
        <v>4000</v>
      </c>
      <c r="G18" s="1">
        <f t="shared" si="2"/>
        <v>4800</v>
      </c>
      <c r="H18" s="1">
        <f t="shared" si="2"/>
        <v>5600</v>
      </c>
      <c r="I18" s="1">
        <f t="shared" si="2"/>
        <v>6400</v>
      </c>
      <c r="J18" s="20">
        <f t="shared" si="2"/>
        <v>7200</v>
      </c>
      <c r="L18" s="5"/>
    </row>
    <row r="19" spans="1:44" x14ac:dyDescent="0.2">
      <c r="A19" s="2">
        <v>5</v>
      </c>
      <c r="B19" s="1">
        <f t="shared" si="3"/>
        <v>1000</v>
      </c>
      <c r="C19" s="1">
        <f t="shared" si="2"/>
        <v>2000</v>
      </c>
      <c r="D19" s="1">
        <f t="shared" si="2"/>
        <v>3000</v>
      </c>
      <c r="E19" s="1">
        <f t="shared" si="2"/>
        <v>4000</v>
      </c>
      <c r="F19" s="1">
        <f t="shared" si="2"/>
        <v>5000</v>
      </c>
      <c r="G19" s="1">
        <f t="shared" si="2"/>
        <v>6000</v>
      </c>
      <c r="H19" s="1">
        <f t="shared" si="2"/>
        <v>7000</v>
      </c>
      <c r="I19" s="1">
        <f t="shared" si="2"/>
        <v>8000</v>
      </c>
      <c r="J19" s="20">
        <f t="shared" si="2"/>
        <v>9000</v>
      </c>
      <c r="L19" s="5"/>
    </row>
    <row r="20" spans="1:44" x14ac:dyDescent="0.2">
      <c r="A20" s="2">
        <v>6</v>
      </c>
      <c r="B20" s="1">
        <f t="shared" si="3"/>
        <v>1200</v>
      </c>
      <c r="C20" s="1">
        <f t="shared" si="2"/>
        <v>2400</v>
      </c>
      <c r="D20" s="1">
        <f t="shared" si="2"/>
        <v>3600</v>
      </c>
      <c r="E20" s="1">
        <f t="shared" si="2"/>
        <v>4800</v>
      </c>
      <c r="F20" s="1">
        <f t="shared" si="2"/>
        <v>6000</v>
      </c>
      <c r="G20" s="1">
        <f t="shared" si="2"/>
        <v>7200</v>
      </c>
      <c r="H20" s="1">
        <f t="shared" si="2"/>
        <v>8400</v>
      </c>
      <c r="I20" s="1">
        <f t="shared" si="2"/>
        <v>9600</v>
      </c>
      <c r="J20" s="20">
        <f t="shared" si="2"/>
        <v>10800</v>
      </c>
      <c r="L20" s="5"/>
    </row>
    <row r="21" spans="1:44" x14ac:dyDescent="0.2">
      <c r="A21" s="2">
        <v>7</v>
      </c>
      <c r="B21" s="1">
        <f t="shared" si="3"/>
        <v>1400</v>
      </c>
      <c r="C21" s="1">
        <f t="shared" si="2"/>
        <v>2800</v>
      </c>
      <c r="D21" s="1">
        <f t="shared" si="2"/>
        <v>4200</v>
      </c>
      <c r="E21" s="1">
        <f t="shared" si="2"/>
        <v>5600</v>
      </c>
      <c r="F21" s="1">
        <f t="shared" si="2"/>
        <v>7000</v>
      </c>
      <c r="G21" s="1">
        <f t="shared" si="2"/>
        <v>8400</v>
      </c>
      <c r="H21" s="1">
        <f t="shared" si="2"/>
        <v>9800</v>
      </c>
      <c r="I21" s="1">
        <f t="shared" si="2"/>
        <v>11200</v>
      </c>
      <c r="J21" s="20">
        <f t="shared" si="2"/>
        <v>12600</v>
      </c>
      <c r="L21" s="5"/>
    </row>
    <row r="22" spans="1:44" x14ac:dyDescent="0.2">
      <c r="A22" s="2">
        <v>8</v>
      </c>
      <c r="B22" s="1">
        <f t="shared" si="3"/>
        <v>1600</v>
      </c>
      <c r="C22" s="1">
        <f t="shared" si="2"/>
        <v>3200</v>
      </c>
      <c r="D22" s="1">
        <f t="shared" si="2"/>
        <v>4800</v>
      </c>
      <c r="E22" s="1">
        <f t="shared" si="2"/>
        <v>6400</v>
      </c>
      <c r="F22" s="1">
        <f t="shared" si="2"/>
        <v>8000</v>
      </c>
      <c r="G22" s="1">
        <f t="shared" si="2"/>
        <v>9600</v>
      </c>
      <c r="H22" s="1">
        <f t="shared" si="2"/>
        <v>11200</v>
      </c>
      <c r="I22" s="1">
        <f t="shared" si="2"/>
        <v>12800</v>
      </c>
      <c r="J22" s="20">
        <f t="shared" si="2"/>
        <v>14400</v>
      </c>
      <c r="L22" s="5"/>
    </row>
    <row r="23" spans="1:44" x14ac:dyDescent="0.2">
      <c r="A23" s="25">
        <v>9</v>
      </c>
      <c r="B23" s="24">
        <f t="shared" si="3"/>
        <v>1800</v>
      </c>
      <c r="C23" s="24">
        <f t="shared" si="2"/>
        <v>3600</v>
      </c>
      <c r="D23" s="24">
        <f t="shared" si="2"/>
        <v>5400</v>
      </c>
      <c r="E23" s="24">
        <f t="shared" si="2"/>
        <v>7200</v>
      </c>
      <c r="F23" s="24">
        <f t="shared" si="2"/>
        <v>9000</v>
      </c>
      <c r="G23" s="24">
        <f t="shared" si="2"/>
        <v>10800</v>
      </c>
      <c r="H23" s="24">
        <f t="shared" si="2"/>
        <v>12600</v>
      </c>
      <c r="I23" s="24">
        <f t="shared" si="2"/>
        <v>14400</v>
      </c>
      <c r="J23" s="17">
        <f t="shared" si="2"/>
        <v>16200</v>
      </c>
      <c r="L23" s="5"/>
    </row>
    <row r="25" spans="1:44" x14ac:dyDescent="0.2">
      <c r="B25" t="s">
        <v>2</v>
      </c>
    </row>
    <row r="28" spans="1:44" x14ac:dyDescent="0.2">
      <c r="A28" s="18" t="s">
        <v>32</v>
      </c>
      <c r="B28" s="27" t="s">
        <v>33</v>
      </c>
      <c r="C28" s="27" t="s">
        <v>34</v>
      </c>
      <c r="D28" s="27" t="s">
        <v>35</v>
      </c>
      <c r="E28" s="27" t="s">
        <v>36</v>
      </c>
      <c r="F28" s="27" t="s">
        <v>37</v>
      </c>
      <c r="G28" s="27" t="s">
        <v>38</v>
      </c>
      <c r="H28" s="27" t="s">
        <v>39</v>
      </c>
      <c r="I28" s="27" t="s">
        <v>40</v>
      </c>
      <c r="J28" s="28" t="s">
        <v>41</v>
      </c>
      <c r="L28" s="4" t="s">
        <v>1</v>
      </c>
      <c r="N28" s="6">
        <v>1</v>
      </c>
      <c r="O28" s="6">
        <v>2</v>
      </c>
      <c r="P28" s="6">
        <v>3</v>
      </c>
      <c r="Q28" s="6">
        <v>4</v>
      </c>
      <c r="R28" s="6">
        <v>5</v>
      </c>
      <c r="S28" s="6">
        <v>6</v>
      </c>
      <c r="T28" s="6">
        <v>7</v>
      </c>
      <c r="U28" s="6">
        <v>8</v>
      </c>
      <c r="V28" s="6">
        <v>9</v>
      </c>
      <c r="Y28" s="6">
        <v>1</v>
      </c>
      <c r="Z28" s="6">
        <v>2</v>
      </c>
      <c r="AA28" s="6">
        <v>3</v>
      </c>
      <c r="AB28" s="6">
        <v>4</v>
      </c>
      <c r="AC28" s="6">
        <v>5</v>
      </c>
      <c r="AD28" s="6">
        <v>6</v>
      </c>
      <c r="AE28" s="6">
        <v>7</v>
      </c>
      <c r="AF28" s="6">
        <v>8</v>
      </c>
      <c r="AG28" s="6">
        <v>9</v>
      </c>
      <c r="AJ28" s="6">
        <v>1</v>
      </c>
      <c r="AK28" s="6">
        <v>2</v>
      </c>
      <c r="AL28" s="6">
        <v>3</v>
      </c>
      <c r="AM28" s="6">
        <v>4</v>
      </c>
      <c r="AN28" s="6">
        <v>5</v>
      </c>
      <c r="AO28" s="6">
        <v>6</v>
      </c>
      <c r="AP28" s="6">
        <v>7</v>
      </c>
      <c r="AQ28" s="6">
        <v>8</v>
      </c>
      <c r="AR28" s="6">
        <v>9</v>
      </c>
    </row>
    <row r="29" spans="1:44" x14ac:dyDescent="0.2">
      <c r="A29" s="26">
        <v>1</v>
      </c>
      <c r="B29" s="1">
        <f>$A29*B$28*$L$29</f>
        <v>300</v>
      </c>
      <c r="C29" s="1">
        <f t="shared" ref="C29:J37" si="4">$A29*C$28*$L$29</f>
        <v>600</v>
      </c>
      <c r="D29" s="1">
        <f t="shared" si="4"/>
        <v>900</v>
      </c>
      <c r="E29" s="1">
        <f t="shared" si="4"/>
        <v>1200</v>
      </c>
      <c r="F29" s="1">
        <f t="shared" si="4"/>
        <v>1500</v>
      </c>
      <c r="G29" s="1">
        <f t="shared" si="4"/>
        <v>1800</v>
      </c>
      <c r="H29" s="1">
        <f t="shared" si="4"/>
        <v>2100</v>
      </c>
      <c r="I29" s="1">
        <f t="shared" si="4"/>
        <v>2400</v>
      </c>
      <c r="J29" s="20">
        <f t="shared" si="4"/>
        <v>2700</v>
      </c>
      <c r="L29" s="5">
        <v>300</v>
      </c>
      <c r="M29" s="6">
        <v>1</v>
      </c>
      <c r="N29">
        <f>$M29*N$28*L29</f>
        <v>300</v>
      </c>
      <c r="O29">
        <f t="shared" ref="O29:V29" si="5">$M29*O$28*M29</f>
        <v>2</v>
      </c>
      <c r="P29">
        <f t="shared" si="5"/>
        <v>900</v>
      </c>
      <c r="Q29">
        <f t="shared" si="5"/>
        <v>8</v>
      </c>
      <c r="R29">
        <f t="shared" si="5"/>
        <v>4500</v>
      </c>
      <c r="S29">
        <f t="shared" si="5"/>
        <v>48</v>
      </c>
      <c r="T29">
        <f t="shared" si="5"/>
        <v>31500</v>
      </c>
      <c r="U29">
        <f t="shared" si="5"/>
        <v>384</v>
      </c>
      <c r="V29">
        <f t="shared" si="5"/>
        <v>283500</v>
      </c>
      <c r="X29" s="6">
        <v>1</v>
      </c>
      <c r="Y29">
        <f>$X29*Y$28*L$29</f>
        <v>300</v>
      </c>
      <c r="Z29">
        <f t="shared" ref="Z29:AG29" si="6">$X29*Z$28*M$29</f>
        <v>2</v>
      </c>
      <c r="AA29">
        <f t="shared" si="6"/>
        <v>900</v>
      </c>
      <c r="AB29">
        <f t="shared" si="6"/>
        <v>8</v>
      </c>
      <c r="AC29">
        <f t="shared" si="6"/>
        <v>4500</v>
      </c>
      <c r="AD29">
        <f t="shared" si="6"/>
        <v>48</v>
      </c>
      <c r="AE29">
        <f t="shared" si="6"/>
        <v>31500</v>
      </c>
      <c r="AF29">
        <f t="shared" si="6"/>
        <v>384</v>
      </c>
      <c r="AG29">
        <f t="shared" si="6"/>
        <v>283500</v>
      </c>
      <c r="AI29" s="6">
        <v>1</v>
      </c>
      <c r="AJ29">
        <f>$AI29*AJ$28*L$29</f>
        <v>300</v>
      </c>
      <c r="AK29">
        <f t="shared" ref="AK29:AR29" si="7">$AI29*AK$28*M$29</f>
        <v>2</v>
      </c>
      <c r="AL29">
        <f t="shared" si="7"/>
        <v>900</v>
      </c>
      <c r="AM29">
        <f t="shared" si="7"/>
        <v>8</v>
      </c>
      <c r="AN29">
        <f t="shared" si="7"/>
        <v>4500</v>
      </c>
      <c r="AO29">
        <f t="shared" si="7"/>
        <v>48</v>
      </c>
      <c r="AP29">
        <f t="shared" si="7"/>
        <v>31500</v>
      </c>
      <c r="AQ29">
        <f t="shared" si="7"/>
        <v>384</v>
      </c>
      <c r="AR29">
        <f t="shared" si="7"/>
        <v>283500</v>
      </c>
    </row>
    <row r="30" spans="1:44" x14ac:dyDescent="0.2">
      <c r="A30" s="26">
        <v>2</v>
      </c>
      <c r="B30" s="1">
        <f t="shared" ref="B30:B37" si="8">$A30*B$28*$L$29</f>
        <v>600</v>
      </c>
      <c r="C30" s="1">
        <f t="shared" si="4"/>
        <v>1200</v>
      </c>
      <c r="D30" s="1">
        <f t="shared" si="4"/>
        <v>1800</v>
      </c>
      <c r="E30" s="1">
        <f t="shared" si="4"/>
        <v>2400</v>
      </c>
      <c r="F30" s="1">
        <f t="shared" si="4"/>
        <v>3000</v>
      </c>
      <c r="G30" s="1">
        <f t="shared" si="4"/>
        <v>3600</v>
      </c>
      <c r="H30" s="1">
        <f t="shared" si="4"/>
        <v>4200</v>
      </c>
      <c r="I30" s="1">
        <f t="shared" si="4"/>
        <v>4800</v>
      </c>
      <c r="J30" s="20">
        <f t="shared" si="4"/>
        <v>5400</v>
      </c>
      <c r="M30" s="6">
        <v>2</v>
      </c>
      <c r="N30">
        <f t="shared" ref="N30:N37" si="9">$M30*N$28*L30</f>
        <v>0</v>
      </c>
      <c r="O30">
        <f t="shared" ref="O30:O37" si="10">$M30*O$28*M30</f>
        <v>8</v>
      </c>
      <c r="P30">
        <f t="shared" ref="P30:P37" si="11">$M30*P$28*N30</f>
        <v>0</v>
      </c>
      <c r="Q30">
        <f t="shared" ref="Q30:Q37" si="12">$M30*Q$28*O30</f>
        <v>64</v>
      </c>
      <c r="R30">
        <f t="shared" ref="R30:R37" si="13">$M30*R$28*P30</f>
        <v>0</v>
      </c>
      <c r="S30">
        <f t="shared" ref="S30:S37" si="14">$M30*S$28*Q30</f>
        <v>768</v>
      </c>
      <c r="T30">
        <f t="shared" ref="T30:T37" si="15">$M30*T$28*R30</f>
        <v>0</v>
      </c>
      <c r="U30">
        <f t="shared" ref="U30:U37" si="16">$M30*U$28*S30</f>
        <v>12288</v>
      </c>
      <c r="V30">
        <f t="shared" ref="V30:V37" si="17">$M30*V$28*T30</f>
        <v>0</v>
      </c>
      <c r="X30" s="6">
        <v>2</v>
      </c>
      <c r="Y30">
        <f t="shared" ref="Y30:Y37" si="18">$X30*Y$28*L$29</f>
        <v>600</v>
      </c>
      <c r="Z30">
        <f t="shared" ref="Z30:Z37" si="19">$X30*Z$28*M$29</f>
        <v>4</v>
      </c>
      <c r="AA30">
        <f t="shared" ref="AA30:AA37" si="20">$X30*AA$28*N$29</f>
        <v>1800</v>
      </c>
      <c r="AB30">
        <f t="shared" ref="AB30:AB37" si="21">$X30*AB$28*O$29</f>
        <v>16</v>
      </c>
      <c r="AC30">
        <f t="shared" ref="AC30:AC37" si="22">$X30*AC$28*P$29</f>
        <v>9000</v>
      </c>
      <c r="AD30">
        <f t="shared" ref="AD30:AD37" si="23">$X30*AD$28*Q$29</f>
        <v>96</v>
      </c>
      <c r="AE30">
        <f t="shared" ref="AE30:AE37" si="24">$X30*AE$28*R$29</f>
        <v>63000</v>
      </c>
      <c r="AF30">
        <f t="shared" ref="AF30:AF37" si="25">$X30*AF$28*S$29</f>
        <v>768</v>
      </c>
      <c r="AG30">
        <f t="shared" ref="AG30:AG37" si="26">$X30*AG$28*T$29</f>
        <v>567000</v>
      </c>
      <c r="AI30" s="6">
        <v>2</v>
      </c>
      <c r="AJ30">
        <f t="shared" ref="AJ30:AJ37" si="27">$AI30*AJ$28*L$29</f>
        <v>600</v>
      </c>
      <c r="AK30">
        <f t="shared" ref="AK30:AK37" si="28">$AI30*AK$28*M$29</f>
        <v>4</v>
      </c>
      <c r="AL30">
        <f t="shared" ref="AL30:AL37" si="29">$AI30*AL$28*N$29</f>
        <v>1800</v>
      </c>
      <c r="AM30">
        <f t="shared" ref="AM30:AM37" si="30">$AI30*AM$28*O$29</f>
        <v>16</v>
      </c>
      <c r="AN30">
        <f t="shared" ref="AN30:AN37" si="31">$AI30*AN$28*P$29</f>
        <v>9000</v>
      </c>
      <c r="AO30">
        <f t="shared" ref="AO30:AO37" si="32">$AI30*AO$28*Q$29</f>
        <v>96</v>
      </c>
      <c r="AP30">
        <f t="shared" ref="AP30:AP37" si="33">$AI30*AP$28*R$29</f>
        <v>63000</v>
      </c>
      <c r="AQ30">
        <f t="shared" ref="AQ30:AQ37" si="34">$AI30*AQ$28*S$29</f>
        <v>768</v>
      </c>
      <c r="AR30">
        <f t="shared" ref="AR30:AR37" si="35">$AI30*AR$28*T$29</f>
        <v>567000</v>
      </c>
    </row>
    <row r="31" spans="1:44" x14ac:dyDescent="0.2">
      <c r="A31" s="26">
        <v>3</v>
      </c>
      <c r="B31" s="1">
        <f t="shared" si="8"/>
        <v>900</v>
      </c>
      <c r="C31" s="1">
        <f t="shared" si="4"/>
        <v>1800</v>
      </c>
      <c r="D31" s="1">
        <f t="shared" si="4"/>
        <v>2700</v>
      </c>
      <c r="E31" s="1">
        <f t="shared" si="4"/>
        <v>3600</v>
      </c>
      <c r="F31" s="1">
        <f t="shared" si="4"/>
        <v>4500</v>
      </c>
      <c r="G31" s="1">
        <f t="shared" si="4"/>
        <v>5400</v>
      </c>
      <c r="H31" s="1">
        <f t="shared" si="4"/>
        <v>6300</v>
      </c>
      <c r="I31" s="1">
        <f t="shared" si="4"/>
        <v>7200</v>
      </c>
      <c r="J31" s="20">
        <f t="shared" si="4"/>
        <v>8100</v>
      </c>
      <c r="M31" s="6">
        <v>3</v>
      </c>
      <c r="N31">
        <f t="shared" si="9"/>
        <v>0</v>
      </c>
      <c r="O31">
        <f t="shared" si="10"/>
        <v>18</v>
      </c>
      <c r="P31">
        <f t="shared" si="11"/>
        <v>0</v>
      </c>
      <c r="Q31">
        <f t="shared" si="12"/>
        <v>216</v>
      </c>
      <c r="R31">
        <f t="shared" si="13"/>
        <v>0</v>
      </c>
      <c r="S31">
        <f t="shared" si="14"/>
        <v>3888</v>
      </c>
      <c r="T31">
        <f t="shared" si="15"/>
        <v>0</v>
      </c>
      <c r="U31">
        <f t="shared" si="16"/>
        <v>93312</v>
      </c>
      <c r="V31">
        <f t="shared" si="17"/>
        <v>0</v>
      </c>
      <c r="X31" s="6">
        <v>3</v>
      </c>
      <c r="Y31">
        <f t="shared" si="18"/>
        <v>900</v>
      </c>
      <c r="Z31">
        <f t="shared" si="19"/>
        <v>6</v>
      </c>
      <c r="AA31">
        <f t="shared" si="20"/>
        <v>2700</v>
      </c>
      <c r="AB31">
        <f t="shared" si="21"/>
        <v>24</v>
      </c>
      <c r="AC31">
        <f t="shared" si="22"/>
        <v>13500</v>
      </c>
      <c r="AD31">
        <f t="shared" si="23"/>
        <v>144</v>
      </c>
      <c r="AE31">
        <f t="shared" si="24"/>
        <v>94500</v>
      </c>
      <c r="AF31">
        <f t="shared" si="25"/>
        <v>1152</v>
      </c>
      <c r="AG31">
        <f t="shared" si="26"/>
        <v>850500</v>
      </c>
      <c r="AI31" s="6">
        <v>3</v>
      </c>
      <c r="AJ31">
        <f t="shared" si="27"/>
        <v>900</v>
      </c>
      <c r="AK31">
        <f t="shared" si="28"/>
        <v>6</v>
      </c>
      <c r="AL31">
        <f t="shared" si="29"/>
        <v>2700</v>
      </c>
      <c r="AM31">
        <f t="shared" si="30"/>
        <v>24</v>
      </c>
      <c r="AN31">
        <f t="shared" si="31"/>
        <v>13500</v>
      </c>
      <c r="AO31">
        <f t="shared" si="32"/>
        <v>144</v>
      </c>
      <c r="AP31">
        <f t="shared" si="33"/>
        <v>94500</v>
      </c>
      <c r="AQ31">
        <f t="shared" si="34"/>
        <v>1152</v>
      </c>
      <c r="AR31">
        <f t="shared" si="35"/>
        <v>850500</v>
      </c>
    </row>
    <row r="32" spans="1:44" x14ac:dyDescent="0.2">
      <c r="A32" s="26">
        <v>4</v>
      </c>
      <c r="B32" s="1">
        <f t="shared" si="8"/>
        <v>1200</v>
      </c>
      <c r="C32" s="1">
        <f t="shared" si="4"/>
        <v>2400</v>
      </c>
      <c r="D32" s="1">
        <f t="shared" si="4"/>
        <v>3600</v>
      </c>
      <c r="E32" s="1">
        <f t="shared" si="4"/>
        <v>4800</v>
      </c>
      <c r="F32" s="1">
        <f t="shared" si="4"/>
        <v>6000</v>
      </c>
      <c r="G32" s="1">
        <f t="shared" si="4"/>
        <v>7200</v>
      </c>
      <c r="H32" s="1">
        <f t="shared" si="4"/>
        <v>8400</v>
      </c>
      <c r="I32" s="1">
        <f t="shared" si="4"/>
        <v>9600</v>
      </c>
      <c r="J32" s="20">
        <f t="shared" si="4"/>
        <v>10800</v>
      </c>
      <c r="M32" s="6">
        <v>4</v>
      </c>
      <c r="N32">
        <f t="shared" si="9"/>
        <v>0</v>
      </c>
      <c r="O32">
        <f t="shared" si="10"/>
        <v>32</v>
      </c>
      <c r="P32">
        <f t="shared" si="11"/>
        <v>0</v>
      </c>
      <c r="Q32">
        <f t="shared" si="12"/>
        <v>512</v>
      </c>
      <c r="R32">
        <f t="shared" si="13"/>
        <v>0</v>
      </c>
      <c r="S32">
        <f t="shared" si="14"/>
        <v>12288</v>
      </c>
      <c r="T32">
        <f t="shared" si="15"/>
        <v>0</v>
      </c>
      <c r="U32">
        <f t="shared" si="16"/>
        <v>393216</v>
      </c>
      <c r="V32">
        <f t="shared" si="17"/>
        <v>0</v>
      </c>
      <c r="X32" s="6">
        <v>4</v>
      </c>
      <c r="Y32">
        <f t="shared" si="18"/>
        <v>1200</v>
      </c>
      <c r="Z32">
        <f t="shared" si="19"/>
        <v>8</v>
      </c>
      <c r="AA32">
        <f t="shared" si="20"/>
        <v>3600</v>
      </c>
      <c r="AB32">
        <f t="shared" si="21"/>
        <v>32</v>
      </c>
      <c r="AC32">
        <f t="shared" si="22"/>
        <v>18000</v>
      </c>
      <c r="AD32">
        <f t="shared" si="23"/>
        <v>192</v>
      </c>
      <c r="AE32">
        <f t="shared" si="24"/>
        <v>126000</v>
      </c>
      <c r="AF32">
        <f t="shared" si="25"/>
        <v>1536</v>
      </c>
      <c r="AG32">
        <f t="shared" si="26"/>
        <v>1134000</v>
      </c>
      <c r="AI32" s="6">
        <v>4</v>
      </c>
      <c r="AJ32">
        <f t="shared" si="27"/>
        <v>1200</v>
      </c>
      <c r="AK32">
        <f t="shared" si="28"/>
        <v>8</v>
      </c>
      <c r="AL32">
        <f t="shared" si="29"/>
        <v>3600</v>
      </c>
      <c r="AM32">
        <f t="shared" si="30"/>
        <v>32</v>
      </c>
      <c r="AN32">
        <f t="shared" si="31"/>
        <v>18000</v>
      </c>
      <c r="AO32">
        <f t="shared" si="32"/>
        <v>192</v>
      </c>
      <c r="AP32">
        <f t="shared" si="33"/>
        <v>126000</v>
      </c>
      <c r="AQ32">
        <f t="shared" si="34"/>
        <v>1536</v>
      </c>
      <c r="AR32">
        <f t="shared" si="35"/>
        <v>1134000</v>
      </c>
    </row>
    <row r="33" spans="1:44" x14ac:dyDescent="0.2">
      <c r="A33" s="26">
        <v>5</v>
      </c>
      <c r="B33" s="1">
        <f t="shared" si="8"/>
        <v>1500</v>
      </c>
      <c r="C33" s="1">
        <f t="shared" si="4"/>
        <v>3000</v>
      </c>
      <c r="D33" s="1">
        <f t="shared" si="4"/>
        <v>4500</v>
      </c>
      <c r="E33" s="1">
        <f t="shared" si="4"/>
        <v>6000</v>
      </c>
      <c r="F33" s="1">
        <f t="shared" si="4"/>
        <v>7500</v>
      </c>
      <c r="G33" s="1">
        <f t="shared" si="4"/>
        <v>9000</v>
      </c>
      <c r="H33" s="1">
        <f t="shared" si="4"/>
        <v>10500</v>
      </c>
      <c r="I33" s="1">
        <f t="shared" si="4"/>
        <v>12000</v>
      </c>
      <c r="J33" s="20">
        <f t="shared" si="4"/>
        <v>13500</v>
      </c>
      <c r="M33" s="6">
        <v>5</v>
      </c>
      <c r="N33">
        <f t="shared" si="9"/>
        <v>0</v>
      </c>
      <c r="O33">
        <f t="shared" si="10"/>
        <v>50</v>
      </c>
      <c r="P33">
        <f t="shared" si="11"/>
        <v>0</v>
      </c>
      <c r="Q33">
        <f t="shared" si="12"/>
        <v>1000</v>
      </c>
      <c r="R33">
        <f t="shared" si="13"/>
        <v>0</v>
      </c>
      <c r="S33">
        <f t="shared" si="14"/>
        <v>30000</v>
      </c>
      <c r="T33">
        <f t="shared" si="15"/>
        <v>0</v>
      </c>
      <c r="U33">
        <f t="shared" si="16"/>
        <v>1200000</v>
      </c>
      <c r="V33">
        <f t="shared" si="17"/>
        <v>0</v>
      </c>
      <c r="X33" s="6">
        <v>5</v>
      </c>
      <c r="Y33">
        <f t="shared" si="18"/>
        <v>1500</v>
      </c>
      <c r="Z33">
        <f t="shared" si="19"/>
        <v>10</v>
      </c>
      <c r="AA33">
        <f t="shared" si="20"/>
        <v>4500</v>
      </c>
      <c r="AB33">
        <f t="shared" si="21"/>
        <v>40</v>
      </c>
      <c r="AC33">
        <f t="shared" si="22"/>
        <v>22500</v>
      </c>
      <c r="AD33">
        <f t="shared" si="23"/>
        <v>240</v>
      </c>
      <c r="AE33">
        <f t="shared" si="24"/>
        <v>157500</v>
      </c>
      <c r="AF33">
        <f t="shared" si="25"/>
        <v>1920</v>
      </c>
      <c r="AG33">
        <f t="shared" si="26"/>
        <v>1417500</v>
      </c>
      <c r="AI33" s="6">
        <v>5</v>
      </c>
      <c r="AJ33">
        <f t="shared" si="27"/>
        <v>1500</v>
      </c>
      <c r="AK33">
        <f t="shared" si="28"/>
        <v>10</v>
      </c>
      <c r="AL33">
        <f t="shared" si="29"/>
        <v>4500</v>
      </c>
      <c r="AM33">
        <f t="shared" si="30"/>
        <v>40</v>
      </c>
      <c r="AN33">
        <f t="shared" si="31"/>
        <v>22500</v>
      </c>
      <c r="AO33">
        <f t="shared" si="32"/>
        <v>240</v>
      </c>
      <c r="AP33">
        <f t="shared" si="33"/>
        <v>157500</v>
      </c>
      <c r="AQ33">
        <f t="shared" si="34"/>
        <v>1920</v>
      </c>
      <c r="AR33">
        <f t="shared" si="35"/>
        <v>1417500</v>
      </c>
    </row>
    <row r="34" spans="1:44" x14ac:dyDescent="0.2">
      <c r="A34" s="26">
        <v>6</v>
      </c>
      <c r="B34" s="1">
        <f t="shared" si="8"/>
        <v>1800</v>
      </c>
      <c r="C34" s="1">
        <f t="shared" si="4"/>
        <v>3600</v>
      </c>
      <c r="D34" s="1">
        <f t="shared" si="4"/>
        <v>5400</v>
      </c>
      <c r="E34" s="1">
        <f t="shared" si="4"/>
        <v>7200</v>
      </c>
      <c r="F34" s="1">
        <f t="shared" si="4"/>
        <v>9000</v>
      </c>
      <c r="G34" s="1">
        <f t="shared" si="4"/>
        <v>10800</v>
      </c>
      <c r="H34" s="1">
        <f t="shared" si="4"/>
        <v>12600</v>
      </c>
      <c r="I34" s="1">
        <f t="shared" si="4"/>
        <v>14400</v>
      </c>
      <c r="J34" s="20">
        <f t="shared" si="4"/>
        <v>16200</v>
      </c>
      <c r="M34" s="6">
        <v>6</v>
      </c>
      <c r="N34">
        <f t="shared" si="9"/>
        <v>0</v>
      </c>
      <c r="O34">
        <f t="shared" si="10"/>
        <v>72</v>
      </c>
      <c r="P34">
        <f t="shared" si="11"/>
        <v>0</v>
      </c>
      <c r="Q34">
        <f t="shared" si="12"/>
        <v>1728</v>
      </c>
      <c r="R34">
        <f t="shared" si="13"/>
        <v>0</v>
      </c>
      <c r="S34">
        <f t="shared" si="14"/>
        <v>62208</v>
      </c>
      <c r="T34">
        <f t="shared" si="15"/>
        <v>0</v>
      </c>
      <c r="U34">
        <f t="shared" si="16"/>
        <v>2985984</v>
      </c>
      <c r="V34">
        <f t="shared" si="17"/>
        <v>0</v>
      </c>
      <c r="X34" s="6">
        <v>6</v>
      </c>
      <c r="Y34">
        <f t="shared" si="18"/>
        <v>1800</v>
      </c>
      <c r="Z34">
        <f t="shared" si="19"/>
        <v>12</v>
      </c>
      <c r="AA34">
        <f t="shared" si="20"/>
        <v>5400</v>
      </c>
      <c r="AB34">
        <f t="shared" si="21"/>
        <v>48</v>
      </c>
      <c r="AC34">
        <f t="shared" si="22"/>
        <v>27000</v>
      </c>
      <c r="AD34">
        <f t="shared" si="23"/>
        <v>288</v>
      </c>
      <c r="AE34">
        <f t="shared" si="24"/>
        <v>189000</v>
      </c>
      <c r="AF34">
        <f t="shared" si="25"/>
        <v>2304</v>
      </c>
      <c r="AG34">
        <f t="shared" si="26"/>
        <v>1701000</v>
      </c>
      <c r="AI34" s="6">
        <v>6</v>
      </c>
      <c r="AJ34">
        <f t="shared" si="27"/>
        <v>1800</v>
      </c>
      <c r="AK34">
        <f t="shared" si="28"/>
        <v>12</v>
      </c>
      <c r="AL34">
        <f t="shared" si="29"/>
        <v>5400</v>
      </c>
      <c r="AM34">
        <f t="shared" si="30"/>
        <v>48</v>
      </c>
      <c r="AN34">
        <f t="shared" si="31"/>
        <v>27000</v>
      </c>
      <c r="AO34">
        <f t="shared" si="32"/>
        <v>288</v>
      </c>
      <c r="AP34">
        <f t="shared" si="33"/>
        <v>189000</v>
      </c>
      <c r="AQ34">
        <f t="shared" si="34"/>
        <v>2304</v>
      </c>
      <c r="AR34">
        <f t="shared" si="35"/>
        <v>1701000</v>
      </c>
    </row>
    <row r="35" spans="1:44" x14ac:dyDescent="0.2">
      <c r="A35" s="26">
        <v>7</v>
      </c>
      <c r="B35" s="1">
        <f t="shared" si="8"/>
        <v>2100</v>
      </c>
      <c r="C35" s="1">
        <f t="shared" si="4"/>
        <v>4200</v>
      </c>
      <c r="D35" s="1">
        <f t="shared" si="4"/>
        <v>6300</v>
      </c>
      <c r="E35" s="1">
        <f t="shared" si="4"/>
        <v>8400</v>
      </c>
      <c r="F35" s="1">
        <f t="shared" si="4"/>
        <v>10500</v>
      </c>
      <c r="G35" s="1">
        <f t="shared" si="4"/>
        <v>12600</v>
      </c>
      <c r="H35" s="1">
        <f t="shared" si="4"/>
        <v>14700</v>
      </c>
      <c r="I35" s="1">
        <f t="shared" si="4"/>
        <v>16800</v>
      </c>
      <c r="J35" s="20">
        <f t="shared" si="4"/>
        <v>18900</v>
      </c>
      <c r="M35" s="6">
        <v>7</v>
      </c>
      <c r="N35">
        <f t="shared" si="9"/>
        <v>0</v>
      </c>
      <c r="O35">
        <f t="shared" si="10"/>
        <v>98</v>
      </c>
      <c r="P35">
        <f t="shared" si="11"/>
        <v>0</v>
      </c>
      <c r="Q35">
        <f t="shared" si="12"/>
        <v>2744</v>
      </c>
      <c r="R35">
        <f t="shared" si="13"/>
        <v>0</v>
      </c>
      <c r="S35">
        <f t="shared" si="14"/>
        <v>115248</v>
      </c>
      <c r="T35">
        <f t="shared" si="15"/>
        <v>0</v>
      </c>
      <c r="U35">
        <f t="shared" si="16"/>
        <v>6453888</v>
      </c>
      <c r="V35">
        <f t="shared" si="17"/>
        <v>0</v>
      </c>
      <c r="X35" s="6">
        <v>7</v>
      </c>
      <c r="Y35">
        <f t="shared" si="18"/>
        <v>2100</v>
      </c>
      <c r="Z35">
        <f t="shared" si="19"/>
        <v>14</v>
      </c>
      <c r="AA35">
        <f t="shared" si="20"/>
        <v>6300</v>
      </c>
      <c r="AB35">
        <f t="shared" si="21"/>
        <v>56</v>
      </c>
      <c r="AC35">
        <f t="shared" si="22"/>
        <v>31500</v>
      </c>
      <c r="AD35">
        <f t="shared" si="23"/>
        <v>336</v>
      </c>
      <c r="AE35">
        <f t="shared" si="24"/>
        <v>220500</v>
      </c>
      <c r="AF35">
        <f t="shared" si="25"/>
        <v>2688</v>
      </c>
      <c r="AG35">
        <f t="shared" si="26"/>
        <v>1984500</v>
      </c>
      <c r="AI35" s="6">
        <v>7</v>
      </c>
      <c r="AJ35">
        <f t="shared" si="27"/>
        <v>2100</v>
      </c>
      <c r="AK35">
        <f t="shared" si="28"/>
        <v>14</v>
      </c>
      <c r="AL35">
        <f t="shared" si="29"/>
        <v>6300</v>
      </c>
      <c r="AM35">
        <f t="shared" si="30"/>
        <v>56</v>
      </c>
      <c r="AN35">
        <f t="shared" si="31"/>
        <v>31500</v>
      </c>
      <c r="AO35">
        <f t="shared" si="32"/>
        <v>336</v>
      </c>
      <c r="AP35">
        <f t="shared" si="33"/>
        <v>220500</v>
      </c>
      <c r="AQ35">
        <f t="shared" si="34"/>
        <v>2688</v>
      </c>
      <c r="AR35">
        <f t="shared" si="35"/>
        <v>1984500</v>
      </c>
    </row>
    <row r="36" spans="1:44" x14ac:dyDescent="0.2">
      <c r="A36" s="26">
        <v>8</v>
      </c>
      <c r="B36" s="1">
        <f t="shared" si="8"/>
        <v>2400</v>
      </c>
      <c r="C36" s="1">
        <f t="shared" si="4"/>
        <v>4800</v>
      </c>
      <c r="D36" s="1">
        <f t="shared" si="4"/>
        <v>7200</v>
      </c>
      <c r="E36" s="1">
        <f t="shared" si="4"/>
        <v>9600</v>
      </c>
      <c r="F36" s="1">
        <f t="shared" si="4"/>
        <v>12000</v>
      </c>
      <c r="G36" s="1">
        <f t="shared" si="4"/>
        <v>14400</v>
      </c>
      <c r="H36" s="1">
        <f t="shared" si="4"/>
        <v>16800</v>
      </c>
      <c r="I36" s="1">
        <f t="shared" si="4"/>
        <v>19200</v>
      </c>
      <c r="J36" s="20">
        <f t="shared" si="4"/>
        <v>21600</v>
      </c>
      <c r="M36" s="6">
        <v>8</v>
      </c>
      <c r="N36">
        <f t="shared" si="9"/>
        <v>0</v>
      </c>
      <c r="O36">
        <f t="shared" si="10"/>
        <v>128</v>
      </c>
      <c r="P36">
        <f t="shared" si="11"/>
        <v>0</v>
      </c>
      <c r="Q36">
        <f t="shared" si="12"/>
        <v>4096</v>
      </c>
      <c r="R36">
        <f t="shared" si="13"/>
        <v>0</v>
      </c>
      <c r="S36">
        <f t="shared" si="14"/>
        <v>196608</v>
      </c>
      <c r="T36">
        <f t="shared" si="15"/>
        <v>0</v>
      </c>
      <c r="U36">
        <f t="shared" si="16"/>
        <v>12582912</v>
      </c>
      <c r="V36">
        <f t="shared" si="17"/>
        <v>0</v>
      </c>
      <c r="X36" s="6">
        <v>8</v>
      </c>
      <c r="Y36">
        <f t="shared" si="18"/>
        <v>2400</v>
      </c>
      <c r="Z36">
        <f t="shared" si="19"/>
        <v>16</v>
      </c>
      <c r="AA36">
        <f t="shared" si="20"/>
        <v>7200</v>
      </c>
      <c r="AB36">
        <f t="shared" si="21"/>
        <v>64</v>
      </c>
      <c r="AC36">
        <f t="shared" si="22"/>
        <v>36000</v>
      </c>
      <c r="AD36">
        <f t="shared" si="23"/>
        <v>384</v>
      </c>
      <c r="AE36">
        <f t="shared" si="24"/>
        <v>252000</v>
      </c>
      <c r="AF36">
        <f t="shared" si="25"/>
        <v>3072</v>
      </c>
      <c r="AG36">
        <f t="shared" si="26"/>
        <v>2268000</v>
      </c>
      <c r="AI36" s="6">
        <v>8</v>
      </c>
      <c r="AJ36">
        <f t="shared" si="27"/>
        <v>2400</v>
      </c>
      <c r="AK36">
        <f t="shared" si="28"/>
        <v>16</v>
      </c>
      <c r="AL36">
        <f t="shared" si="29"/>
        <v>7200</v>
      </c>
      <c r="AM36">
        <f t="shared" si="30"/>
        <v>64</v>
      </c>
      <c r="AN36">
        <f t="shared" si="31"/>
        <v>36000</v>
      </c>
      <c r="AO36">
        <f t="shared" si="32"/>
        <v>384</v>
      </c>
      <c r="AP36">
        <f t="shared" si="33"/>
        <v>252000</v>
      </c>
      <c r="AQ36">
        <f t="shared" si="34"/>
        <v>3072</v>
      </c>
      <c r="AR36">
        <f t="shared" si="35"/>
        <v>2268000</v>
      </c>
    </row>
    <row r="37" spans="1:44" x14ac:dyDescent="0.2">
      <c r="A37" s="29">
        <v>9</v>
      </c>
      <c r="B37" s="24">
        <f t="shared" si="8"/>
        <v>2700</v>
      </c>
      <c r="C37" s="24">
        <f t="shared" si="4"/>
        <v>5400</v>
      </c>
      <c r="D37" s="24">
        <f t="shared" si="4"/>
        <v>8100</v>
      </c>
      <c r="E37" s="24">
        <f t="shared" si="4"/>
        <v>10800</v>
      </c>
      <c r="F37" s="24">
        <f t="shared" si="4"/>
        <v>13500</v>
      </c>
      <c r="G37" s="24">
        <f t="shared" si="4"/>
        <v>16200</v>
      </c>
      <c r="H37" s="24">
        <f t="shared" si="4"/>
        <v>18900</v>
      </c>
      <c r="I37" s="24">
        <f t="shared" si="4"/>
        <v>21600</v>
      </c>
      <c r="J37" s="17">
        <f t="shared" si="4"/>
        <v>24300</v>
      </c>
      <c r="M37" s="6">
        <v>9</v>
      </c>
      <c r="N37">
        <f t="shared" si="9"/>
        <v>0</v>
      </c>
      <c r="O37">
        <f t="shared" si="10"/>
        <v>162</v>
      </c>
      <c r="P37">
        <f t="shared" si="11"/>
        <v>0</v>
      </c>
      <c r="Q37">
        <f t="shared" si="12"/>
        <v>5832</v>
      </c>
      <c r="R37">
        <f t="shared" si="13"/>
        <v>0</v>
      </c>
      <c r="S37">
        <f t="shared" si="14"/>
        <v>314928</v>
      </c>
      <c r="T37">
        <f t="shared" si="15"/>
        <v>0</v>
      </c>
      <c r="U37">
        <f t="shared" si="16"/>
        <v>22674816</v>
      </c>
      <c r="V37">
        <f t="shared" si="17"/>
        <v>0</v>
      </c>
      <c r="X37" s="6">
        <v>9</v>
      </c>
      <c r="Y37">
        <f t="shared" si="18"/>
        <v>2700</v>
      </c>
      <c r="Z37">
        <f t="shared" si="19"/>
        <v>18</v>
      </c>
      <c r="AA37">
        <f t="shared" si="20"/>
        <v>8100</v>
      </c>
      <c r="AB37">
        <f t="shared" si="21"/>
        <v>72</v>
      </c>
      <c r="AC37">
        <f t="shared" si="22"/>
        <v>40500</v>
      </c>
      <c r="AD37">
        <f t="shared" si="23"/>
        <v>432</v>
      </c>
      <c r="AE37">
        <f t="shared" si="24"/>
        <v>283500</v>
      </c>
      <c r="AF37">
        <f t="shared" si="25"/>
        <v>3456</v>
      </c>
      <c r="AG37">
        <f t="shared" si="26"/>
        <v>2551500</v>
      </c>
      <c r="AI37" s="6">
        <v>9</v>
      </c>
      <c r="AJ37">
        <f t="shared" si="27"/>
        <v>2700</v>
      </c>
      <c r="AK37">
        <f t="shared" si="28"/>
        <v>18</v>
      </c>
      <c r="AL37">
        <f t="shared" si="29"/>
        <v>8100</v>
      </c>
      <c r="AM37">
        <f t="shared" si="30"/>
        <v>72</v>
      </c>
      <c r="AN37">
        <f t="shared" si="31"/>
        <v>40500</v>
      </c>
      <c r="AO37">
        <f t="shared" si="32"/>
        <v>432</v>
      </c>
      <c r="AP37">
        <f t="shared" si="33"/>
        <v>283500</v>
      </c>
      <c r="AQ37">
        <f t="shared" si="34"/>
        <v>3456</v>
      </c>
      <c r="AR37">
        <f t="shared" si="35"/>
        <v>2551500</v>
      </c>
    </row>
    <row r="40" spans="1:44" x14ac:dyDescent="0.2">
      <c r="A40" s="1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ADED-ED1F-2C47-B876-519772E91ECE}">
  <sheetPr codeName="Sheet2"/>
  <dimension ref="B1:K36"/>
  <sheetViews>
    <sheetView topLeftCell="B1" zoomScale="88" workbookViewId="0">
      <selection activeCell="R29" sqref="R29"/>
    </sheetView>
  </sheetViews>
  <sheetFormatPr baseColWidth="10" defaultRowHeight="16" x14ac:dyDescent="0.2"/>
  <cols>
    <col min="1" max="1" width="10.83203125" style="8"/>
    <col min="2" max="2" width="16.1640625" style="8" customWidth="1"/>
    <col min="3" max="3" width="14" style="8" customWidth="1"/>
    <col min="4" max="4" width="13.5" style="11" customWidth="1"/>
    <col min="5" max="16384" width="10.83203125" style="8"/>
  </cols>
  <sheetData>
    <row r="1" spans="2:11" x14ac:dyDescent="0.2">
      <c r="B1" s="31" t="s">
        <v>4</v>
      </c>
      <c r="C1" s="32" t="s">
        <v>5</v>
      </c>
      <c r="D1" s="33" t="s">
        <v>7</v>
      </c>
      <c r="E1" s="34" t="s">
        <v>8</v>
      </c>
      <c r="F1" s="32" t="s">
        <v>9</v>
      </c>
    </row>
    <row r="2" spans="2:11" x14ac:dyDescent="0.2">
      <c r="B2" s="30">
        <v>1</v>
      </c>
      <c r="C2" s="12">
        <v>1009</v>
      </c>
      <c r="D2" s="10">
        <f>$J$4</f>
        <v>2329.8333333333335</v>
      </c>
      <c r="E2" s="10">
        <f>$J$8</f>
        <v>505.83333333333348</v>
      </c>
      <c r="F2" s="12">
        <f>$J$9</f>
        <v>4153.8333333333339</v>
      </c>
    </row>
    <row r="3" spans="2:11" x14ac:dyDescent="0.2">
      <c r="B3" s="30">
        <v>2</v>
      </c>
      <c r="C3" s="12">
        <v>2626</v>
      </c>
      <c r="D3" s="10">
        <f t="shared" ref="D3:D31" si="0">$J$4</f>
        <v>2329.8333333333335</v>
      </c>
      <c r="E3" s="10">
        <f t="shared" ref="E3:E31" si="1">$J$8</f>
        <v>505.83333333333348</v>
      </c>
      <c r="F3" s="12">
        <f t="shared" ref="F3:F31" si="2">$J$9</f>
        <v>4153.8333333333339</v>
      </c>
      <c r="I3" s="9" t="s">
        <v>12</v>
      </c>
      <c r="J3" s="9" t="s">
        <v>11</v>
      </c>
    </row>
    <row r="4" spans="2:11" x14ac:dyDescent="0.2">
      <c r="B4" s="30">
        <v>3</v>
      </c>
      <c r="C4" s="12">
        <v>2936</v>
      </c>
      <c r="D4" s="10">
        <f t="shared" si="0"/>
        <v>2329.8333333333335</v>
      </c>
      <c r="E4" s="10">
        <f t="shared" si="1"/>
        <v>505.83333333333348</v>
      </c>
      <c r="F4" s="12">
        <f t="shared" si="2"/>
        <v>4153.8333333333339</v>
      </c>
      <c r="I4" s="7" t="s">
        <v>12</v>
      </c>
      <c r="J4" s="10">
        <f>AVERAGE(C2:C31)</f>
        <v>2329.8333333333335</v>
      </c>
      <c r="K4" s="8" t="s">
        <v>16</v>
      </c>
    </row>
    <row r="5" spans="2:11" x14ac:dyDescent="0.2">
      <c r="B5" s="30">
        <v>4</v>
      </c>
      <c r="C5" s="12">
        <v>1458</v>
      </c>
      <c r="D5" s="10">
        <f t="shared" si="0"/>
        <v>2329.8333333333335</v>
      </c>
      <c r="E5" s="10">
        <f t="shared" si="1"/>
        <v>505.83333333333348</v>
      </c>
      <c r="F5" s="12">
        <f t="shared" si="2"/>
        <v>4153.8333333333339</v>
      </c>
      <c r="I5" s="7" t="s">
        <v>13</v>
      </c>
      <c r="J5" s="7">
        <f>_xlfn.QUARTILE.EXC(C2:C31,1)</f>
        <v>1431.5</v>
      </c>
      <c r="K5" s="8" t="s">
        <v>17</v>
      </c>
    </row>
    <row r="6" spans="2:11" x14ac:dyDescent="0.2">
      <c r="B6" s="30">
        <v>5</v>
      </c>
      <c r="C6" s="12">
        <v>2545</v>
      </c>
      <c r="D6" s="10">
        <f t="shared" si="0"/>
        <v>2329.8333333333335</v>
      </c>
      <c r="E6" s="10">
        <f t="shared" si="1"/>
        <v>505.83333333333348</v>
      </c>
      <c r="F6" s="12">
        <f t="shared" si="2"/>
        <v>4153.8333333333339</v>
      </c>
      <c r="I6" s="7" t="s">
        <v>14</v>
      </c>
      <c r="J6" s="7">
        <f>_xlfn.QUARTILE.EXC(C2:C31,3)</f>
        <v>2647.5</v>
      </c>
      <c r="K6" s="8" t="s">
        <v>17</v>
      </c>
    </row>
    <row r="7" spans="2:11" x14ac:dyDescent="0.2">
      <c r="B7" s="30">
        <v>6</v>
      </c>
      <c r="C7" s="12">
        <v>1776</v>
      </c>
      <c r="D7" s="10">
        <f t="shared" si="0"/>
        <v>2329.8333333333335</v>
      </c>
      <c r="E7" s="10">
        <f t="shared" si="1"/>
        <v>505.83333333333348</v>
      </c>
      <c r="F7" s="12">
        <f t="shared" si="2"/>
        <v>4153.8333333333339</v>
      </c>
      <c r="I7" s="7" t="s">
        <v>15</v>
      </c>
      <c r="J7" s="7">
        <f>J6-J5</f>
        <v>1216</v>
      </c>
    </row>
    <row r="8" spans="2:11" x14ac:dyDescent="0.2">
      <c r="B8" s="30">
        <v>7</v>
      </c>
      <c r="C8" s="12">
        <v>1698</v>
      </c>
      <c r="D8" s="10">
        <f t="shared" si="0"/>
        <v>2329.8333333333335</v>
      </c>
      <c r="E8" s="10">
        <f t="shared" si="1"/>
        <v>505.83333333333348</v>
      </c>
      <c r="F8" s="12">
        <f t="shared" si="2"/>
        <v>4153.8333333333339</v>
      </c>
      <c r="I8" s="7" t="s">
        <v>8</v>
      </c>
      <c r="J8" s="10">
        <f>J4-1.5*J7</f>
        <v>505.83333333333348</v>
      </c>
      <c r="K8" s="8" t="s">
        <v>19</v>
      </c>
    </row>
    <row r="9" spans="2:11" x14ac:dyDescent="0.2">
      <c r="B9" s="30">
        <v>8</v>
      </c>
      <c r="C9" s="12">
        <v>12000</v>
      </c>
      <c r="D9" s="10">
        <f t="shared" si="0"/>
        <v>2329.8333333333335</v>
      </c>
      <c r="E9" s="10">
        <f t="shared" si="1"/>
        <v>505.83333333333348</v>
      </c>
      <c r="F9" s="12">
        <f t="shared" si="2"/>
        <v>4153.8333333333339</v>
      </c>
      <c r="I9" s="7" t="s">
        <v>9</v>
      </c>
      <c r="J9" s="14">
        <f>J4+1.5*J7</f>
        <v>4153.8333333333339</v>
      </c>
      <c r="K9" s="8" t="s">
        <v>18</v>
      </c>
    </row>
    <row r="10" spans="2:11" x14ac:dyDescent="0.2">
      <c r="B10" s="30">
        <v>9</v>
      </c>
      <c r="C10" s="12">
        <v>2052</v>
      </c>
      <c r="D10" s="10">
        <f t="shared" si="0"/>
        <v>2329.8333333333335</v>
      </c>
      <c r="E10" s="10">
        <f t="shared" si="1"/>
        <v>505.83333333333348</v>
      </c>
      <c r="F10" s="12">
        <f t="shared" si="2"/>
        <v>4153.8333333333339</v>
      </c>
      <c r="J10" s="15"/>
    </row>
    <row r="11" spans="2:11" x14ac:dyDescent="0.2">
      <c r="B11" s="30">
        <v>10</v>
      </c>
      <c r="C11" s="12">
        <v>2824</v>
      </c>
      <c r="D11" s="10">
        <f t="shared" si="0"/>
        <v>2329.8333333333335</v>
      </c>
      <c r="E11" s="10">
        <f t="shared" si="1"/>
        <v>505.83333333333348</v>
      </c>
      <c r="F11" s="12">
        <f t="shared" si="2"/>
        <v>4153.8333333333339</v>
      </c>
    </row>
    <row r="12" spans="2:11" x14ac:dyDescent="0.2">
      <c r="B12" s="30">
        <v>11</v>
      </c>
      <c r="C12" s="12">
        <v>1891</v>
      </c>
      <c r="D12" s="10">
        <f t="shared" si="0"/>
        <v>2329.8333333333335</v>
      </c>
      <c r="E12" s="10">
        <f t="shared" si="1"/>
        <v>505.83333333333348</v>
      </c>
      <c r="F12" s="12">
        <f t="shared" si="2"/>
        <v>4153.8333333333339</v>
      </c>
    </row>
    <row r="13" spans="2:11" x14ac:dyDescent="0.2">
      <c r="B13" s="30">
        <v>12</v>
      </c>
      <c r="C13" s="12">
        <v>2034</v>
      </c>
      <c r="D13" s="10">
        <f t="shared" si="0"/>
        <v>2329.8333333333335</v>
      </c>
      <c r="E13" s="10">
        <f t="shared" si="1"/>
        <v>505.83333333333348</v>
      </c>
      <c r="F13" s="12">
        <f t="shared" si="2"/>
        <v>4153.8333333333339</v>
      </c>
    </row>
    <row r="14" spans="2:11" x14ac:dyDescent="0.2">
      <c r="B14" s="30">
        <v>13</v>
      </c>
      <c r="C14" s="12">
        <v>1130</v>
      </c>
      <c r="D14" s="10">
        <f t="shared" si="0"/>
        <v>2329.8333333333335</v>
      </c>
      <c r="E14" s="10">
        <f t="shared" si="1"/>
        <v>505.83333333333348</v>
      </c>
      <c r="F14" s="12">
        <f t="shared" si="2"/>
        <v>4153.8333333333339</v>
      </c>
    </row>
    <row r="15" spans="2:11" x14ac:dyDescent="0.2">
      <c r="B15" s="30">
        <v>14</v>
      </c>
      <c r="C15" s="12">
        <v>1340</v>
      </c>
      <c r="D15" s="10">
        <f t="shared" si="0"/>
        <v>2329.8333333333335</v>
      </c>
      <c r="E15" s="10">
        <f t="shared" si="1"/>
        <v>505.83333333333348</v>
      </c>
      <c r="F15" s="12">
        <f t="shared" si="2"/>
        <v>4153.8333333333339</v>
      </c>
    </row>
    <row r="16" spans="2:11" x14ac:dyDescent="0.2">
      <c r="B16" s="30">
        <v>15</v>
      </c>
      <c r="C16" s="12">
        <v>2625</v>
      </c>
      <c r="D16" s="10">
        <f t="shared" si="0"/>
        <v>2329.8333333333335</v>
      </c>
      <c r="E16" s="10">
        <f t="shared" si="1"/>
        <v>505.83333333333348</v>
      </c>
      <c r="F16" s="12">
        <f t="shared" si="2"/>
        <v>4153.8333333333339</v>
      </c>
    </row>
    <row r="17" spans="2:6" x14ac:dyDescent="0.2">
      <c r="B17" s="30">
        <v>16</v>
      </c>
      <c r="C17" s="12">
        <v>1470</v>
      </c>
      <c r="D17" s="10">
        <f t="shared" si="0"/>
        <v>2329.8333333333335</v>
      </c>
      <c r="E17" s="10">
        <f t="shared" si="1"/>
        <v>505.83333333333348</v>
      </c>
      <c r="F17" s="12">
        <f t="shared" si="2"/>
        <v>4153.8333333333339</v>
      </c>
    </row>
    <row r="18" spans="2:6" x14ac:dyDescent="0.2">
      <c r="B18" s="30">
        <v>17</v>
      </c>
      <c r="C18" s="12">
        <v>2057</v>
      </c>
      <c r="D18" s="10">
        <f t="shared" si="0"/>
        <v>2329.8333333333335</v>
      </c>
      <c r="E18" s="10">
        <f t="shared" si="1"/>
        <v>505.83333333333348</v>
      </c>
      <c r="F18" s="12">
        <f t="shared" si="2"/>
        <v>4153.8333333333339</v>
      </c>
    </row>
    <row r="19" spans="2:6" x14ac:dyDescent="0.2">
      <c r="B19" s="30">
        <v>18</v>
      </c>
      <c r="C19" s="12">
        <v>1876</v>
      </c>
      <c r="D19" s="10">
        <f t="shared" si="0"/>
        <v>2329.8333333333335</v>
      </c>
      <c r="E19" s="10">
        <f t="shared" si="1"/>
        <v>505.83333333333348</v>
      </c>
      <c r="F19" s="12">
        <f t="shared" si="2"/>
        <v>4153.8333333333339</v>
      </c>
    </row>
    <row r="20" spans="2:6" x14ac:dyDescent="0.2">
      <c r="B20" s="30">
        <v>19</v>
      </c>
      <c r="C20" s="12">
        <v>2164</v>
      </c>
      <c r="D20" s="10">
        <f t="shared" si="0"/>
        <v>2329.8333333333335</v>
      </c>
      <c r="E20" s="10">
        <f t="shared" si="1"/>
        <v>505.83333333333348</v>
      </c>
      <c r="F20" s="12">
        <f t="shared" si="2"/>
        <v>4153.8333333333339</v>
      </c>
    </row>
    <row r="21" spans="2:6" x14ac:dyDescent="0.2">
      <c r="B21" s="30">
        <v>20</v>
      </c>
      <c r="C21" s="12">
        <v>2911</v>
      </c>
      <c r="D21" s="10">
        <f t="shared" si="0"/>
        <v>2329.8333333333335</v>
      </c>
      <c r="E21" s="10">
        <f t="shared" si="1"/>
        <v>505.83333333333348</v>
      </c>
      <c r="F21" s="12">
        <f t="shared" si="2"/>
        <v>4153.8333333333339</v>
      </c>
    </row>
    <row r="22" spans="2:6" x14ac:dyDescent="0.2">
      <c r="B22" s="30">
        <v>21</v>
      </c>
      <c r="C22" s="12">
        <v>1702</v>
      </c>
      <c r="D22" s="10">
        <f t="shared" si="0"/>
        <v>2329.8333333333335</v>
      </c>
      <c r="E22" s="10">
        <f t="shared" si="1"/>
        <v>505.83333333333348</v>
      </c>
      <c r="F22" s="12">
        <f t="shared" si="2"/>
        <v>4153.8333333333339</v>
      </c>
    </row>
    <row r="23" spans="2:6" x14ac:dyDescent="0.2">
      <c r="B23" s="30">
        <v>22</v>
      </c>
      <c r="C23" s="12">
        <v>1253</v>
      </c>
      <c r="D23" s="10">
        <f t="shared" si="0"/>
        <v>2329.8333333333335</v>
      </c>
      <c r="E23" s="10">
        <f t="shared" si="1"/>
        <v>505.83333333333348</v>
      </c>
      <c r="F23" s="12">
        <f t="shared" si="2"/>
        <v>4153.8333333333339</v>
      </c>
    </row>
    <row r="24" spans="2:6" x14ac:dyDescent="0.2">
      <c r="B24" s="30">
        <v>23</v>
      </c>
      <c r="C24" s="12">
        <v>2930</v>
      </c>
      <c r="D24" s="10">
        <f t="shared" si="0"/>
        <v>2329.8333333333335</v>
      </c>
      <c r="E24" s="10">
        <f t="shared" si="1"/>
        <v>505.83333333333348</v>
      </c>
      <c r="F24" s="12">
        <f t="shared" si="2"/>
        <v>4153.8333333333339</v>
      </c>
    </row>
    <row r="25" spans="2:6" x14ac:dyDescent="0.2">
      <c r="B25" s="30">
        <v>24</v>
      </c>
      <c r="C25" s="12">
        <v>2822</v>
      </c>
      <c r="D25" s="10">
        <f t="shared" si="0"/>
        <v>2329.8333333333335</v>
      </c>
      <c r="E25" s="10">
        <f t="shared" si="1"/>
        <v>505.83333333333348</v>
      </c>
      <c r="F25" s="12">
        <f t="shared" si="2"/>
        <v>4153.8333333333339</v>
      </c>
    </row>
    <row r="26" spans="2:6" x14ac:dyDescent="0.2">
      <c r="B26" s="30">
        <v>25</v>
      </c>
      <c r="C26" s="12">
        <v>2582</v>
      </c>
      <c r="D26" s="10">
        <f t="shared" si="0"/>
        <v>2329.8333333333335</v>
      </c>
      <c r="E26" s="10">
        <f t="shared" si="1"/>
        <v>505.83333333333348</v>
      </c>
      <c r="F26" s="12">
        <f t="shared" si="2"/>
        <v>4153.8333333333339</v>
      </c>
    </row>
    <row r="27" spans="2:6" x14ac:dyDescent="0.2">
      <c r="B27" s="30">
        <v>26</v>
      </c>
      <c r="C27" s="12">
        <v>1352</v>
      </c>
      <c r="D27" s="10">
        <f t="shared" si="0"/>
        <v>2329.8333333333335</v>
      </c>
      <c r="E27" s="10">
        <f t="shared" si="1"/>
        <v>505.83333333333348</v>
      </c>
      <c r="F27" s="12">
        <f t="shared" si="2"/>
        <v>4153.8333333333339</v>
      </c>
    </row>
    <row r="28" spans="2:6" x14ac:dyDescent="0.2">
      <c r="B28" s="30">
        <v>27</v>
      </c>
      <c r="C28" s="12">
        <v>1656</v>
      </c>
      <c r="D28" s="10">
        <f t="shared" si="0"/>
        <v>2329.8333333333335</v>
      </c>
      <c r="E28" s="10">
        <f t="shared" si="1"/>
        <v>505.83333333333348</v>
      </c>
      <c r="F28" s="12">
        <f t="shared" si="2"/>
        <v>4153.8333333333339</v>
      </c>
    </row>
    <row r="29" spans="2:6" x14ac:dyDescent="0.2">
      <c r="B29" s="30">
        <v>28</v>
      </c>
      <c r="C29" s="12">
        <v>1269</v>
      </c>
      <c r="D29" s="10">
        <f t="shared" si="0"/>
        <v>2329.8333333333335</v>
      </c>
      <c r="E29" s="10">
        <f t="shared" si="1"/>
        <v>505.83333333333348</v>
      </c>
      <c r="F29" s="12">
        <f t="shared" si="2"/>
        <v>4153.8333333333339</v>
      </c>
    </row>
    <row r="30" spans="2:6" x14ac:dyDescent="0.2">
      <c r="B30" s="30">
        <v>29</v>
      </c>
      <c r="C30" s="12">
        <v>1195</v>
      </c>
      <c r="D30" s="10">
        <f t="shared" si="0"/>
        <v>2329.8333333333335</v>
      </c>
      <c r="E30" s="10">
        <f t="shared" si="1"/>
        <v>505.83333333333348</v>
      </c>
      <c r="F30" s="12">
        <f t="shared" si="2"/>
        <v>4153.8333333333339</v>
      </c>
    </row>
    <row r="31" spans="2:6" x14ac:dyDescent="0.2">
      <c r="B31" s="35">
        <v>30</v>
      </c>
      <c r="C31" s="36">
        <v>2712</v>
      </c>
      <c r="D31" s="14">
        <f t="shared" si="0"/>
        <v>2329.8333333333335</v>
      </c>
      <c r="E31" s="14">
        <f t="shared" si="1"/>
        <v>505.83333333333348</v>
      </c>
      <c r="F31" s="36">
        <f t="shared" si="2"/>
        <v>4153.8333333333339</v>
      </c>
    </row>
    <row r="33" spans="2:2" x14ac:dyDescent="0.2">
      <c r="B33" s="8" t="s">
        <v>6</v>
      </c>
    </row>
    <row r="34" spans="2:2" x14ac:dyDescent="0.2">
      <c r="B34" s="8" t="s">
        <v>10</v>
      </c>
    </row>
    <row r="35" spans="2:2" x14ac:dyDescent="0.2">
      <c r="B35" s="8" t="s">
        <v>20</v>
      </c>
    </row>
    <row r="36" spans="2:2" x14ac:dyDescent="0.2">
      <c r="B36" s="8" t="s">
        <v>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F68F-9C1B-C74D-9202-39B1477E19B9}">
  <sheetPr codeName="Sheet3"/>
  <dimension ref="B1:I38"/>
  <sheetViews>
    <sheetView tabSelected="1" workbookViewId="0">
      <selection activeCell="H9" sqref="H9"/>
    </sheetView>
  </sheetViews>
  <sheetFormatPr baseColWidth="10" defaultRowHeight="16" x14ac:dyDescent="0.2"/>
  <cols>
    <col min="1" max="1" width="10.83203125" style="104"/>
    <col min="2" max="2" width="15.6640625" style="104" customWidth="1"/>
    <col min="3" max="3" width="10.83203125" style="104"/>
    <col min="4" max="4" width="13.1640625" style="104" customWidth="1"/>
    <col min="5" max="5" width="12.6640625" style="104" customWidth="1"/>
    <col min="6" max="6" width="10.83203125" style="104"/>
    <col min="7" max="7" width="12.1640625" style="104" customWidth="1"/>
    <col min="8" max="8" width="11.5" style="104" customWidth="1"/>
    <col min="9" max="9" width="12.33203125" style="104" customWidth="1"/>
    <col min="10" max="16384" width="10.83203125" style="104"/>
  </cols>
  <sheetData>
    <row r="1" spans="2:9" x14ac:dyDescent="0.2">
      <c r="B1" s="100" t="s">
        <v>4</v>
      </c>
      <c r="C1" s="101" t="s">
        <v>5</v>
      </c>
      <c r="D1" s="102" t="s">
        <v>7</v>
      </c>
      <c r="E1" s="103" t="s">
        <v>22</v>
      </c>
      <c r="F1" s="103" t="s">
        <v>23</v>
      </c>
      <c r="G1" s="101" t="s">
        <v>24</v>
      </c>
    </row>
    <row r="2" spans="2:9" x14ac:dyDescent="0.2">
      <c r="B2" s="105">
        <v>1</v>
      </c>
      <c r="C2" s="106">
        <v>1009</v>
      </c>
      <c r="D2" s="107">
        <v>2329.8333333333335</v>
      </c>
      <c r="E2" s="107">
        <f>STDEV(C$2:C$31)</f>
        <v>1928.9660994023918</v>
      </c>
      <c r="F2" s="107">
        <f>(C2-D2)/E2</f>
        <v>-0.68473641591862999</v>
      </c>
      <c r="G2" s="108" t="str">
        <f t="shared" ref="G2:G31" si="0">IF(ABS(F2)&gt;3,"Atípico"," ")</f>
        <v xml:space="preserve"> </v>
      </c>
    </row>
    <row r="3" spans="2:9" x14ac:dyDescent="0.2">
      <c r="B3" s="105">
        <v>2</v>
      </c>
      <c r="C3" s="106">
        <v>2626</v>
      </c>
      <c r="D3" s="107">
        <v>2329.8333333333335</v>
      </c>
      <c r="E3" s="107">
        <f t="shared" ref="E3:E31" si="1">STDEV(C$2:C$31)</f>
        <v>1928.9660994023918</v>
      </c>
      <c r="F3" s="107">
        <f t="shared" ref="F3:F31" si="2">(C3-D3)/E3</f>
        <v>0.15353648089430974</v>
      </c>
      <c r="G3" s="108" t="str">
        <f t="shared" si="0"/>
        <v xml:space="preserve"> </v>
      </c>
      <c r="H3" s="104" t="s">
        <v>25</v>
      </c>
      <c r="I3" s="107">
        <v>2329.8333333333335</v>
      </c>
    </row>
    <row r="4" spans="2:9" x14ac:dyDescent="0.2">
      <c r="B4" s="105">
        <v>3</v>
      </c>
      <c r="C4" s="106">
        <v>2936</v>
      </c>
      <c r="D4" s="107">
        <v>2329.8333333333335</v>
      </c>
      <c r="E4" s="107">
        <f t="shared" si="1"/>
        <v>1928.9660994023918</v>
      </c>
      <c r="F4" s="107">
        <f t="shared" si="2"/>
        <v>0.31424433371559068</v>
      </c>
      <c r="G4" s="108" t="str">
        <f t="shared" si="0"/>
        <v xml:space="preserve"> </v>
      </c>
      <c r="H4" s="104" t="s">
        <v>26</v>
      </c>
      <c r="I4" s="107">
        <f>STDEV(C2:C31)</f>
        <v>1928.9660994023918</v>
      </c>
    </row>
    <row r="5" spans="2:9" x14ac:dyDescent="0.2">
      <c r="B5" s="105">
        <v>4</v>
      </c>
      <c r="C5" s="106">
        <v>1458</v>
      </c>
      <c r="D5" s="107">
        <v>2329.8333333333335</v>
      </c>
      <c r="E5" s="107">
        <f t="shared" si="1"/>
        <v>1928.9660994023918</v>
      </c>
      <c r="F5" s="107">
        <f t="shared" si="2"/>
        <v>-0.45196923554200047</v>
      </c>
      <c r="G5" s="108" t="str">
        <f t="shared" si="0"/>
        <v xml:space="preserve"> </v>
      </c>
    </row>
    <row r="6" spans="2:9" x14ac:dyDescent="0.2">
      <c r="B6" s="105">
        <v>5</v>
      </c>
      <c r="C6" s="106">
        <v>2545</v>
      </c>
      <c r="D6" s="107">
        <v>2329.8333333333335</v>
      </c>
      <c r="E6" s="107">
        <f t="shared" si="1"/>
        <v>1928.9660994023918</v>
      </c>
      <c r="F6" s="107">
        <f t="shared" si="2"/>
        <v>0.1115450741893944</v>
      </c>
      <c r="G6" s="108" t="str">
        <f t="shared" si="0"/>
        <v xml:space="preserve"> </v>
      </c>
    </row>
    <row r="7" spans="2:9" x14ac:dyDescent="0.2">
      <c r="B7" s="105">
        <v>6</v>
      </c>
      <c r="C7" s="106">
        <v>1776</v>
      </c>
      <c r="D7" s="107">
        <v>2329.8333333333335</v>
      </c>
      <c r="E7" s="107">
        <f t="shared" si="1"/>
        <v>1928.9660994023918</v>
      </c>
      <c r="F7" s="107">
        <f t="shared" si="2"/>
        <v>-0.28711408329307353</v>
      </c>
      <c r="G7" s="108" t="str">
        <f t="shared" si="0"/>
        <v xml:space="preserve"> </v>
      </c>
    </row>
    <row r="8" spans="2:9" x14ac:dyDescent="0.2">
      <c r="B8" s="105">
        <v>7</v>
      </c>
      <c r="C8" s="106">
        <v>1698</v>
      </c>
      <c r="D8" s="107">
        <v>2329.8333333333335</v>
      </c>
      <c r="E8" s="107">
        <f t="shared" si="1"/>
        <v>1928.9660994023918</v>
      </c>
      <c r="F8" s="107">
        <f t="shared" si="2"/>
        <v>-0.32755025271262167</v>
      </c>
      <c r="G8" s="108" t="str">
        <f t="shared" si="0"/>
        <v xml:space="preserve"> </v>
      </c>
    </row>
    <row r="9" spans="2:9" x14ac:dyDescent="0.2">
      <c r="B9" s="105">
        <v>8</v>
      </c>
      <c r="C9" s="106">
        <v>12000</v>
      </c>
      <c r="D9" s="107">
        <v>2329.8333333333335</v>
      </c>
      <c r="E9" s="107">
        <f t="shared" si="1"/>
        <v>1928.9660994023918</v>
      </c>
      <c r="F9" s="107">
        <f t="shared" si="2"/>
        <v>5.013134585238463</v>
      </c>
      <c r="G9" s="108" t="str">
        <f t="shared" si="0"/>
        <v>Atípico</v>
      </c>
    </row>
    <row r="10" spans="2:9" x14ac:dyDescent="0.2">
      <c r="B10" s="105">
        <v>9</v>
      </c>
      <c r="C10" s="106">
        <v>2052</v>
      </c>
      <c r="D10" s="107">
        <v>2329.8333333333335</v>
      </c>
      <c r="E10" s="107">
        <f t="shared" si="1"/>
        <v>1928.9660994023918</v>
      </c>
      <c r="F10" s="107">
        <f t="shared" si="2"/>
        <v>-0.14403225303928791</v>
      </c>
      <c r="G10" s="108" t="str">
        <f t="shared" si="0"/>
        <v xml:space="preserve"> </v>
      </c>
    </row>
    <row r="11" spans="2:9" x14ac:dyDescent="0.2">
      <c r="B11" s="105">
        <v>10</v>
      </c>
      <c r="C11" s="106">
        <v>2824</v>
      </c>
      <c r="D11" s="107">
        <v>2329.8333333333335</v>
      </c>
      <c r="E11" s="107">
        <f t="shared" si="1"/>
        <v>1928.9660994023918</v>
      </c>
      <c r="F11" s="107">
        <f t="shared" si="2"/>
        <v>0.25618214172854725</v>
      </c>
      <c r="G11" s="108" t="str">
        <f t="shared" si="0"/>
        <v xml:space="preserve"> </v>
      </c>
    </row>
    <row r="12" spans="2:9" x14ac:dyDescent="0.2">
      <c r="B12" s="105">
        <v>11</v>
      </c>
      <c r="C12" s="106">
        <v>1891</v>
      </c>
      <c r="D12" s="107">
        <v>2329.8333333333335</v>
      </c>
      <c r="E12" s="107">
        <f t="shared" si="1"/>
        <v>1928.9660994023918</v>
      </c>
      <c r="F12" s="107">
        <f t="shared" si="2"/>
        <v>-0.22749665402066285</v>
      </c>
      <c r="G12" s="108" t="str">
        <f t="shared" si="0"/>
        <v xml:space="preserve"> </v>
      </c>
    </row>
    <row r="13" spans="2:9" x14ac:dyDescent="0.2">
      <c r="B13" s="105">
        <v>12</v>
      </c>
      <c r="C13" s="106">
        <v>2034</v>
      </c>
      <c r="D13" s="107">
        <v>2329.8333333333335</v>
      </c>
      <c r="E13" s="107">
        <f t="shared" si="1"/>
        <v>1928.9660994023918</v>
      </c>
      <c r="F13" s="107">
        <f t="shared" si="2"/>
        <v>-0.15336367675149132</v>
      </c>
      <c r="G13" s="108" t="str">
        <f t="shared" si="0"/>
        <v xml:space="preserve"> </v>
      </c>
    </row>
    <row r="14" spans="2:9" x14ac:dyDescent="0.2">
      <c r="B14" s="105">
        <v>13</v>
      </c>
      <c r="C14" s="106">
        <v>1130</v>
      </c>
      <c r="D14" s="107">
        <v>2329.8333333333335</v>
      </c>
      <c r="E14" s="107">
        <f t="shared" si="1"/>
        <v>1928.9660994023918</v>
      </c>
      <c r="F14" s="107">
        <f t="shared" si="2"/>
        <v>-0.6220085120754848</v>
      </c>
      <c r="G14" s="108" t="str">
        <f t="shared" si="0"/>
        <v xml:space="preserve"> </v>
      </c>
    </row>
    <row r="15" spans="2:9" x14ac:dyDescent="0.2">
      <c r="B15" s="105">
        <v>14</v>
      </c>
      <c r="C15" s="106">
        <v>1340</v>
      </c>
      <c r="D15" s="107">
        <v>2329.8333333333335</v>
      </c>
      <c r="E15" s="107">
        <f t="shared" si="1"/>
        <v>1928.9660994023918</v>
      </c>
      <c r="F15" s="107">
        <f t="shared" si="2"/>
        <v>-0.51314190209977839</v>
      </c>
      <c r="G15" s="108" t="str">
        <f t="shared" si="0"/>
        <v xml:space="preserve"> </v>
      </c>
    </row>
    <row r="16" spans="2:9" x14ac:dyDescent="0.2">
      <c r="B16" s="105">
        <v>15</v>
      </c>
      <c r="C16" s="106">
        <v>2625</v>
      </c>
      <c r="D16" s="107">
        <v>2329.8333333333335</v>
      </c>
      <c r="E16" s="107">
        <f t="shared" si="1"/>
        <v>1928.9660994023918</v>
      </c>
      <c r="F16" s="107">
        <f t="shared" si="2"/>
        <v>0.153018068465854</v>
      </c>
      <c r="G16" s="108" t="str">
        <f t="shared" si="0"/>
        <v xml:space="preserve"> </v>
      </c>
    </row>
    <row r="17" spans="2:7" x14ac:dyDescent="0.2">
      <c r="B17" s="105">
        <v>16</v>
      </c>
      <c r="C17" s="106">
        <v>1470</v>
      </c>
      <c r="D17" s="107">
        <v>2329.8333333333335</v>
      </c>
      <c r="E17" s="107">
        <f t="shared" si="1"/>
        <v>1928.9660994023918</v>
      </c>
      <c r="F17" s="107">
        <f t="shared" si="2"/>
        <v>-0.44574828640053149</v>
      </c>
      <c r="G17" s="108" t="str">
        <f t="shared" si="0"/>
        <v xml:space="preserve"> </v>
      </c>
    </row>
    <row r="18" spans="2:7" x14ac:dyDescent="0.2">
      <c r="B18" s="105">
        <v>17</v>
      </c>
      <c r="C18" s="106">
        <v>2057</v>
      </c>
      <c r="D18" s="107">
        <v>2329.8333333333335</v>
      </c>
      <c r="E18" s="107">
        <f t="shared" si="1"/>
        <v>1928.9660994023918</v>
      </c>
      <c r="F18" s="107">
        <f t="shared" si="2"/>
        <v>-0.14144019089700918</v>
      </c>
      <c r="G18" s="108" t="str">
        <f t="shared" si="0"/>
        <v xml:space="preserve"> </v>
      </c>
    </row>
    <row r="19" spans="2:7" x14ac:dyDescent="0.2">
      <c r="B19" s="105">
        <v>18</v>
      </c>
      <c r="C19" s="106">
        <v>1876</v>
      </c>
      <c r="D19" s="107">
        <v>2329.8333333333335</v>
      </c>
      <c r="E19" s="107">
        <f t="shared" si="1"/>
        <v>1928.9660994023918</v>
      </c>
      <c r="F19" s="107">
        <f t="shared" si="2"/>
        <v>-0.23527284044749902</v>
      </c>
      <c r="G19" s="108" t="str">
        <f t="shared" si="0"/>
        <v xml:space="preserve"> </v>
      </c>
    </row>
    <row r="20" spans="2:7" x14ac:dyDescent="0.2">
      <c r="B20" s="105">
        <v>19</v>
      </c>
      <c r="C20" s="106">
        <v>2164</v>
      </c>
      <c r="D20" s="107">
        <v>2329.8333333333335</v>
      </c>
      <c r="E20" s="107">
        <f t="shared" si="1"/>
        <v>1928.9660994023918</v>
      </c>
      <c r="F20" s="107">
        <f t="shared" si="2"/>
        <v>-8.5970061052244459E-2</v>
      </c>
      <c r="G20" s="108" t="str">
        <f t="shared" si="0"/>
        <v xml:space="preserve"> </v>
      </c>
    </row>
    <row r="21" spans="2:7" x14ac:dyDescent="0.2">
      <c r="B21" s="105">
        <v>20</v>
      </c>
      <c r="C21" s="106">
        <v>2911</v>
      </c>
      <c r="D21" s="107">
        <v>2329.8333333333335</v>
      </c>
      <c r="E21" s="107">
        <f t="shared" si="1"/>
        <v>1928.9660994023918</v>
      </c>
      <c r="F21" s="107">
        <f t="shared" si="2"/>
        <v>0.3012840230041971</v>
      </c>
      <c r="G21" s="108" t="str">
        <f t="shared" si="0"/>
        <v xml:space="preserve"> </v>
      </c>
    </row>
    <row r="22" spans="2:7" x14ac:dyDescent="0.2">
      <c r="B22" s="105">
        <v>21</v>
      </c>
      <c r="C22" s="106">
        <v>1702</v>
      </c>
      <c r="D22" s="107">
        <v>2329.8333333333335</v>
      </c>
      <c r="E22" s="107">
        <f t="shared" si="1"/>
        <v>1928.9660994023918</v>
      </c>
      <c r="F22" s="107">
        <f t="shared" si="2"/>
        <v>-0.32547660299879866</v>
      </c>
      <c r="G22" s="108" t="str">
        <f t="shared" si="0"/>
        <v xml:space="preserve"> </v>
      </c>
    </row>
    <row r="23" spans="2:7" x14ac:dyDescent="0.2">
      <c r="B23" s="105">
        <v>22</v>
      </c>
      <c r="C23" s="106">
        <v>1253</v>
      </c>
      <c r="D23" s="107">
        <v>2329.8333333333335</v>
      </c>
      <c r="E23" s="107">
        <f t="shared" si="1"/>
        <v>1928.9660994023918</v>
      </c>
      <c r="F23" s="107">
        <f t="shared" si="2"/>
        <v>-0.55824378337542824</v>
      </c>
      <c r="G23" s="108" t="str">
        <f t="shared" si="0"/>
        <v xml:space="preserve"> </v>
      </c>
    </row>
    <row r="24" spans="2:7" x14ac:dyDescent="0.2">
      <c r="B24" s="105">
        <v>23</v>
      </c>
      <c r="C24" s="106">
        <v>2930</v>
      </c>
      <c r="D24" s="107">
        <v>2329.8333333333335</v>
      </c>
      <c r="E24" s="107">
        <f t="shared" si="1"/>
        <v>1928.9660994023918</v>
      </c>
      <c r="F24" s="107">
        <f t="shared" si="2"/>
        <v>0.31113385914485625</v>
      </c>
      <c r="G24" s="108" t="str">
        <f t="shared" si="0"/>
        <v xml:space="preserve"> </v>
      </c>
    </row>
    <row r="25" spans="2:7" x14ac:dyDescent="0.2">
      <c r="B25" s="105">
        <v>24</v>
      </c>
      <c r="C25" s="106">
        <v>2822</v>
      </c>
      <c r="D25" s="107">
        <v>2329.8333333333335</v>
      </c>
      <c r="E25" s="107">
        <f t="shared" si="1"/>
        <v>1928.9660994023918</v>
      </c>
      <c r="F25" s="107">
        <f t="shared" si="2"/>
        <v>0.25514531687163577</v>
      </c>
      <c r="G25" s="108" t="str">
        <f t="shared" si="0"/>
        <v xml:space="preserve"> </v>
      </c>
    </row>
    <row r="26" spans="2:7" x14ac:dyDescent="0.2">
      <c r="B26" s="105">
        <v>25</v>
      </c>
      <c r="C26" s="106">
        <v>2582</v>
      </c>
      <c r="D26" s="107">
        <v>2329.8333333333335</v>
      </c>
      <c r="E26" s="107">
        <f t="shared" si="1"/>
        <v>1928.9660994023918</v>
      </c>
      <c r="F26" s="107">
        <f t="shared" si="2"/>
        <v>0.13072633404225695</v>
      </c>
      <c r="G26" s="108" t="str">
        <f t="shared" si="0"/>
        <v xml:space="preserve"> </v>
      </c>
    </row>
    <row r="27" spans="2:7" x14ac:dyDescent="0.2">
      <c r="B27" s="105">
        <v>26</v>
      </c>
      <c r="C27" s="106">
        <v>1352</v>
      </c>
      <c r="D27" s="107">
        <v>2329.8333333333335</v>
      </c>
      <c r="E27" s="107">
        <f t="shared" si="1"/>
        <v>1928.9660994023918</v>
      </c>
      <c r="F27" s="107">
        <f t="shared" si="2"/>
        <v>-0.50692095295830941</v>
      </c>
      <c r="G27" s="108" t="str">
        <f t="shared" si="0"/>
        <v xml:space="preserve"> </v>
      </c>
    </row>
    <row r="28" spans="2:7" x14ac:dyDescent="0.2">
      <c r="B28" s="105">
        <v>27</v>
      </c>
      <c r="C28" s="106">
        <v>1656</v>
      </c>
      <c r="D28" s="107">
        <v>2329.8333333333335</v>
      </c>
      <c r="E28" s="107">
        <f t="shared" si="1"/>
        <v>1928.9660994023918</v>
      </c>
      <c r="F28" s="107">
        <f t="shared" si="2"/>
        <v>-0.34932357470776293</v>
      </c>
      <c r="G28" s="108" t="str">
        <f t="shared" si="0"/>
        <v xml:space="preserve"> </v>
      </c>
    </row>
    <row r="29" spans="2:7" x14ac:dyDescent="0.2">
      <c r="B29" s="105">
        <v>28</v>
      </c>
      <c r="C29" s="106">
        <v>1269</v>
      </c>
      <c r="D29" s="107">
        <v>2329.8333333333335</v>
      </c>
      <c r="E29" s="107">
        <f t="shared" si="1"/>
        <v>1928.9660994023918</v>
      </c>
      <c r="F29" s="107">
        <f t="shared" si="2"/>
        <v>-0.5499491845201363</v>
      </c>
      <c r="G29" s="108" t="str">
        <f t="shared" si="0"/>
        <v xml:space="preserve"> </v>
      </c>
    </row>
    <row r="30" spans="2:7" x14ac:dyDescent="0.2">
      <c r="B30" s="105">
        <v>29</v>
      </c>
      <c r="C30" s="106">
        <v>1195</v>
      </c>
      <c r="D30" s="107">
        <v>2329.8333333333335</v>
      </c>
      <c r="E30" s="107">
        <f t="shared" si="1"/>
        <v>1928.9660994023918</v>
      </c>
      <c r="F30" s="107">
        <f t="shared" si="2"/>
        <v>-0.58831170422586143</v>
      </c>
      <c r="G30" s="108" t="str">
        <f t="shared" si="0"/>
        <v xml:space="preserve"> </v>
      </c>
    </row>
    <row r="31" spans="2:7" x14ac:dyDescent="0.2">
      <c r="B31" s="109">
        <v>30</v>
      </c>
      <c r="C31" s="110">
        <v>2712</v>
      </c>
      <c r="D31" s="111">
        <v>2329.8333333333335</v>
      </c>
      <c r="E31" s="111">
        <f t="shared" si="1"/>
        <v>1928.9660994023918</v>
      </c>
      <c r="F31" s="111">
        <f t="shared" si="2"/>
        <v>0.19811994974150382</v>
      </c>
      <c r="G31" s="112" t="str">
        <f t="shared" si="0"/>
        <v xml:space="preserve"> </v>
      </c>
    </row>
    <row r="33" spans="2:2" x14ac:dyDescent="0.2">
      <c r="B33" s="104" t="s">
        <v>27</v>
      </c>
    </row>
    <row r="34" spans="2:2" x14ac:dyDescent="0.2">
      <c r="B34" s="104" t="s">
        <v>28</v>
      </c>
    </row>
    <row r="35" spans="2:2" x14ac:dyDescent="0.2">
      <c r="B35" s="104" t="s">
        <v>29</v>
      </c>
    </row>
    <row r="36" spans="2:2" x14ac:dyDescent="0.2">
      <c r="B36" s="104" t="s">
        <v>30</v>
      </c>
    </row>
    <row r="38" spans="2:2" x14ac:dyDescent="0.2">
      <c r="B38" s="104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AF7C-A0AE-0A46-BD68-BE9FA1DBED38}">
  <sheetPr codeName="Sheet4"/>
  <dimension ref="A1:H19"/>
  <sheetViews>
    <sheetView zoomScale="174" workbookViewId="0">
      <selection activeCell="G2" sqref="G2"/>
    </sheetView>
  </sheetViews>
  <sheetFormatPr baseColWidth="10" defaultRowHeight="16" x14ac:dyDescent="0.2"/>
  <cols>
    <col min="2" max="2" width="13.33203125" customWidth="1"/>
    <col min="3" max="3" width="14.5" customWidth="1"/>
    <col min="4" max="4" width="16.83203125" customWidth="1"/>
    <col min="7" max="7" width="13" customWidth="1"/>
  </cols>
  <sheetData>
    <row r="1" spans="1:8" x14ac:dyDescent="0.2">
      <c r="A1" s="38" t="s">
        <v>66</v>
      </c>
      <c r="B1" s="38" t="s">
        <v>90</v>
      </c>
      <c r="C1" s="13"/>
      <c r="D1" s="13" t="s">
        <v>43</v>
      </c>
      <c r="E1" s="13" t="s">
        <v>44</v>
      </c>
      <c r="F1" s="13" t="s">
        <v>45</v>
      </c>
      <c r="G1" s="13" t="s">
        <v>46</v>
      </c>
    </row>
    <row r="2" spans="1:8" x14ac:dyDescent="0.2">
      <c r="A2" s="1">
        <v>1</v>
      </c>
      <c r="B2" s="1" t="s">
        <v>47</v>
      </c>
      <c r="D2" t="s">
        <v>56</v>
      </c>
      <c r="E2" s="37" t="s">
        <v>59</v>
      </c>
      <c r="F2" s="37" t="s">
        <v>67</v>
      </c>
      <c r="G2">
        <f>COUNTIF(B2:B10,"*1L")</f>
        <v>5</v>
      </c>
      <c r="H2">
        <f>COUNTIF(B2:B10,"*"&amp;F2)</f>
        <v>5</v>
      </c>
    </row>
    <row r="3" spans="1:8" x14ac:dyDescent="0.2">
      <c r="A3" s="1">
        <v>2</v>
      </c>
      <c r="B3" s="1" t="s">
        <v>48</v>
      </c>
      <c r="D3" t="s">
        <v>57</v>
      </c>
      <c r="E3" s="37" t="s">
        <v>60</v>
      </c>
      <c r="F3" s="37" t="s">
        <v>64</v>
      </c>
      <c r="G3">
        <f>COUNTIF(B2:B10,"FAN*")</f>
        <v>1</v>
      </c>
      <c r="H3">
        <f>COUNTIF(B2:B10,F3&amp;"*")</f>
        <v>1</v>
      </c>
    </row>
    <row r="4" spans="1:8" x14ac:dyDescent="0.2">
      <c r="A4" s="1">
        <v>3</v>
      </c>
      <c r="B4" s="1" t="s">
        <v>49</v>
      </c>
      <c r="D4" t="s">
        <v>58</v>
      </c>
      <c r="E4" s="37" t="s">
        <v>62</v>
      </c>
      <c r="F4" s="37" t="s">
        <v>61</v>
      </c>
      <c r="G4">
        <f>COUNTIF(B2:B10,"*hisky*")</f>
        <v>1</v>
      </c>
      <c r="H4">
        <f>COUNTIF(B2:B10,"*"&amp;F4&amp;"*")</f>
        <v>1</v>
      </c>
    </row>
    <row r="5" spans="1:8" x14ac:dyDescent="0.2">
      <c r="A5" s="1">
        <v>4</v>
      </c>
      <c r="B5" s="1" t="s">
        <v>50</v>
      </c>
    </row>
    <row r="6" spans="1:8" x14ac:dyDescent="0.2">
      <c r="A6" s="1">
        <v>5</v>
      </c>
      <c r="B6" s="1" t="s">
        <v>51</v>
      </c>
    </row>
    <row r="7" spans="1:8" x14ac:dyDescent="0.2">
      <c r="A7" s="1">
        <v>6</v>
      </c>
      <c r="B7" s="1" t="s">
        <v>52</v>
      </c>
    </row>
    <row r="8" spans="1:8" x14ac:dyDescent="0.2">
      <c r="A8" s="1">
        <v>7</v>
      </c>
      <c r="B8" s="1" t="s">
        <v>53</v>
      </c>
    </row>
    <row r="9" spans="1:8" x14ac:dyDescent="0.2">
      <c r="A9" s="1">
        <v>8</v>
      </c>
      <c r="B9" s="1" t="s">
        <v>54</v>
      </c>
    </row>
    <row r="10" spans="1:8" x14ac:dyDescent="0.2">
      <c r="A10" s="1">
        <v>9</v>
      </c>
      <c r="B10" s="1" t="s">
        <v>55</v>
      </c>
    </row>
    <row r="13" spans="1:8" x14ac:dyDescent="0.2">
      <c r="A13" t="s">
        <v>63</v>
      </c>
    </row>
    <row r="14" spans="1:8" x14ac:dyDescent="0.2">
      <c r="A14" t="s">
        <v>65</v>
      </c>
    </row>
    <row r="15" spans="1:8" x14ac:dyDescent="0.2">
      <c r="A15" t="s">
        <v>68</v>
      </c>
    </row>
    <row r="16" spans="1:8" x14ac:dyDescent="0.2">
      <c r="A16" t="s">
        <v>69</v>
      </c>
    </row>
    <row r="17" spans="1:1" x14ac:dyDescent="0.2">
      <c r="A17" t="s">
        <v>70</v>
      </c>
    </row>
    <row r="19" spans="1:1" x14ac:dyDescent="0.2">
      <c r="A19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AAA3-F206-CC42-A9D3-FFE0158E8A59}">
  <sheetPr codeName="Sheet5"/>
  <dimension ref="A1:I18"/>
  <sheetViews>
    <sheetView topLeftCell="A9" workbookViewId="0">
      <selection activeCell="E7" sqref="E7"/>
    </sheetView>
  </sheetViews>
  <sheetFormatPr baseColWidth="10" defaultRowHeight="16" x14ac:dyDescent="0.2"/>
  <cols>
    <col min="2" max="2" width="14.83203125" customWidth="1"/>
    <col min="3" max="3" width="16.33203125" customWidth="1"/>
    <col min="4" max="4" width="19.33203125" customWidth="1"/>
    <col min="5" max="5" width="13.5" customWidth="1"/>
    <col min="6" max="6" width="11.6640625" customWidth="1"/>
    <col min="8" max="8" width="13" customWidth="1"/>
  </cols>
  <sheetData>
    <row r="1" spans="1:9" x14ac:dyDescent="0.2">
      <c r="A1" s="38" t="s">
        <v>66</v>
      </c>
      <c r="B1" s="38" t="s">
        <v>90</v>
      </c>
      <c r="C1" s="13"/>
      <c r="D1" s="38" t="s">
        <v>43</v>
      </c>
      <c r="E1" s="38" t="s">
        <v>44</v>
      </c>
      <c r="F1" s="38" t="s">
        <v>45</v>
      </c>
      <c r="G1" s="38" t="s">
        <v>46</v>
      </c>
    </row>
    <row r="2" spans="1:9" x14ac:dyDescent="0.2">
      <c r="A2" s="1">
        <v>1</v>
      </c>
      <c r="B2" s="1" t="s">
        <v>47</v>
      </c>
      <c r="D2" s="1" t="s">
        <v>56</v>
      </c>
      <c r="E2" s="46" t="s">
        <v>59</v>
      </c>
      <c r="F2" s="46" t="s">
        <v>67</v>
      </c>
      <c r="G2" s="1">
        <f>COUNTIF(B2:B10,"*1L")</f>
        <v>5</v>
      </c>
      <c r="H2">
        <f>COUNTIF(B2:B10,"*"&amp;F2)</f>
        <v>5</v>
      </c>
      <c r="I2">
        <f>COUNTIF('CONTAR.SI ASTERISCO '!B2:B10,"*1L")</f>
        <v>5</v>
      </c>
    </row>
    <row r="3" spans="1:9" x14ac:dyDescent="0.2">
      <c r="A3" s="1">
        <v>2</v>
      </c>
      <c r="B3" s="1" t="s">
        <v>48</v>
      </c>
      <c r="D3" s="1" t="s">
        <v>57</v>
      </c>
      <c r="E3" s="46" t="s">
        <v>60</v>
      </c>
      <c r="F3" s="46" t="s">
        <v>64</v>
      </c>
      <c r="G3" s="1">
        <f>COUNTIF(B2:B10,"FAN*")</f>
        <v>1</v>
      </c>
      <c r="H3">
        <f>COUNTIF(B2:B10,F3&amp;"*")</f>
        <v>1</v>
      </c>
    </row>
    <row r="4" spans="1:9" x14ac:dyDescent="0.2">
      <c r="A4" s="1">
        <v>3</v>
      </c>
      <c r="B4" s="1" t="s">
        <v>49</v>
      </c>
      <c r="D4" s="1" t="s">
        <v>58</v>
      </c>
      <c r="E4" s="46" t="s">
        <v>62</v>
      </c>
      <c r="F4" s="46" t="s">
        <v>61</v>
      </c>
      <c r="G4" s="1">
        <f>COUNTIF(B2:B10,"*hisky*")</f>
        <v>1</v>
      </c>
      <c r="H4">
        <f>COUNTIF(B2:B10,"*"&amp;F4&amp;"*")</f>
        <v>1</v>
      </c>
    </row>
    <row r="5" spans="1:9" x14ac:dyDescent="0.2">
      <c r="A5" s="1">
        <v>4</v>
      </c>
      <c r="B5" s="1" t="s">
        <v>50</v>
      </c>
    </row>
    <row r="6" spans="1:9" x14ac:dyDescent="0.2">
      <c r="A6" s="1">
        <v>5</v>
      </c>
      <c r="B6" s="1" t="s">
        <v>51</v>
      </c>
      <c r="D6" s="13"/>
      <c r="E6" s="39" t="s">
        <v>87</v>
      </c>
      <c r="F6" s="39" t="s">
        <v>45</v>
      </c>
      <c r="G6" s="13"/>
      <c r="H6" s="39" t="s">
        <v>46</v>
      </c>
    </row>
    <row r="7" spans="1:9" x14ac:dyDescent="0.2">
      <c r="A7" s="1">
        <v>6</v>
      </c>
      <c r="B7" s="1" t="s">
        <v>52</v>
      </c>
      <c r="D7" s="13" t="s">
        <v>86</v>
      </c>
      <c r="E7" s="47" t="s">
        <v>50</v>
      </c>
      <c r="F7" s="47" t="str">
        <f>E7</f>
        <v>Aceite 1L</v>
      </c>
      <c r="G7" s="13"/>
      <c r="H7" s="47">
        <f>COUNTIF(B2:B10,"*"&amp;F7&amp;"*")</f>
        <v>1</v>
      </c>
    </row>
    <row r="8" spans="1:9" x14ac:dyDescent="0.2">
      <c r="A8" s="1">
        <v>7</v>
      </c>
      <c r="B8" s="1" t="s">
        <v>53</v>
      </c>
    </row>
    <row r="9" spans="1:9" x14ac:dyDescent="0.2">
      <c r="A9" s="1">
        <v>8</v>
      </c>
      <c r="B9" s="1" t="s">
        <v>54</v>
      </c>
    </row>
    <row r="10" spans="1:9" x14ac:dyDescent="0.2">
      <c r="A10" s="1">
        <v>9</v>
      </c>
      <c r="B10" s="1" t="s">
        <v>55</v>
      </c>
    </row>
    <row r="14" spans="1:9" x14ac:dyDescent="0.2">
      <c r="A14" t="s">
        <v>88</v>
      </c>
    </row>
    <row r="16" spans="1:9" x14ac:dyDescent="0.2">
      <c r="A16" t="s">
        <v>89</v>
      </c>
    </row>
    <row r="18" spans="1:1" x14ac:dyDescent="0.2">
      <c r="A18" t="s">
        <v>91</v>
      </c>
    </row>
  </sheetData>
  <dataValidations count="1">
    <dataValidation type="list" allowBlank="1" showInputMessage="1" showErrorMessage="1" sqref="E7" xr:uid="{5C8679FD-4638-AD47-8EC3-4C6165B45A72}">
      <formula1>$B$2:$B$10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ABD1-C90C-6449-9862-12F8BFC2E498}">
  <sheetPr codeName="Sheet6"/>
  <dimension ref="A1:G14"/>
  <sheetViews>
    <sheetView workbookViewId="0">
      <selection activeCell="E27" sqref="E27"/>
    </sheetView>
  </sheetViews>
  <sheetFormatPr baseColWidth="10" defaultRowHeight="16" x14ac:dyDescent="0.2"/>
  <cols>
    <col min="2" max="2" width="13.33203125" customWidth="1"/>
    <col min="4" max="4" width="14.83203125" customWidth="1"/>
  </cols>
  <sheetData>
    <row r="1" spans="1:7" x14ac:dyDescent="0.2">
      <c r="A1" s="38" t="s">
        <v>66</v>
      </c>
      <c r="B1" s="38" t="s">
        <v>42</v>
      </c>
      <c r="C1" s="13"/>
      <c r="D1" s="13"/>
      <c r="E1" s="13"/>
      <c r="F1" s="13"/>
      <c r="G1" s="13"/>
    </row>
    <row r="2" spans="1:7" x14ac:dyDescent="0.2">
      <c r="A2" s="1">
        <v>1</v>
      </c>
      <c r="B2" s="1" t="s">
        <v>47</v>
      </c>
    </row>
    <row r="3" spans="1:7" x14ac:dyDescent="0.2">
      <c r="A3" s="1"/>
      <c r="B3" s="1" t="s">
        <v>48</v>
      </c>
    </row>
    <row r="4" spans="1:7" x14ac:dyDescent="0.2">
      <c r="A4" s="1">
        <v>3</v>
      </c>
      <c r="B4" s="1"/>
    </row>
    <row r="5" spans="1:7" x14ac:dyDescent="0.2">
      <c r="A5" s="1">
        <v>4</v>
      </c>
      <c r="B5" s="1" t="s">
        <v>50</v>
      </c>
    </row>
    <row r="6" spans="1:7" x14ac:dyDescent="0.2">
      <c r="A6" s="1">
        <v>5</v>
      </c>
      <c r="B6" s="1" t="s">
        <v>51</v>
      </c>
    </row>
    <row r="7" spans="1:7" x14ac:dyDescent="0.2">
      <c r="A7" s="1">
        <v>6</v>
      </c>
      <c r="B7" s="1" t="s">
        <v>52</v>
      </c>
    </row>
    <row r="8" spans="1:7" x14ac:dyDescent="0.2">
      <c r="A8" s="1"/>
      <c r="B8" s="1" t="s">
        <v>53</v>
      </c>
    </row>
    <row r="9" spans="1:7" x14ac:dyDescent="0.2">
      <c r="A9" s="1">
        <v>8</v>
      </c>
      <c r="B9" s="1" t="s">
        <v>54</v>
      </c>
    </row>
    <row r="10" spans="1:7" x14ac:dyDescent="0.2">
      <c r="A10" s="1">
        <v>9</v>
      </c>
      <c r="B10" s="1"/>
    </row>
    <row r="12" spans="1:7" x14ac:dyDescent="0.2">
      <c r="A12" t="s">
        <v>71</v>
      </c>
    </row>
    <row r="13" spans="1:7" x14ac:dyDescent="0.2">
      <c r="A13" t="s">
        <v>72</v>
      </c>
    </row>
    <row r="14" spans="1:7" x14ac:dyDescent="0.2">
      <c r="A14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509C-0440-7842-8EC0-1D17C6C11910}">
  <sheetPr codeName="Sheet7"/>
  <dimension ref="A1:E13"/>
  <sheetViews>
    <sheetView zoomScale="125" workbookViewId="0">
      <selection activeCell="C3" sqref="C3 E3 C5 E5"/>
    </sheetView>
  </sheetViews>
  <sheetFormatPr baseColWidth="10" defaultRowHeight="16" x14ac:dyDescent="0.2"/>
  <cols>
    <col min="3" max="3" width="11.33203125" bestFit="1" customWidth="1"/>
    <col min="5" max="5" width="11" customWidth="1"/>
  </cols>
  <sheetData>
    <row r="1" spans="1:5" x14ac:dyDescent="0.2">
      <c r="A1" s="1"/>
      <c r="B1" s="44" t="s">
        <v>74</v>
      </c>
      <c r="C1" s="44" t="s">
        <v>75</v>
      </c>
      <c r="D1" s="44" t="s">
        <v>76</v>
      </c>
      <c r="E1" s="45" t="s">
        <v>80</v>
      </c>
    </row>
    <row r="2" spans="1:5" x14ac:dyDescent="0.2">
      <c r="A2" s="42" t="s">
        <v>77</v>
      </c>
      <c r="B2" s="40">
        <v>2500</v>
      </c>
      <c r="C2" s="40">
        <v>1050</v>
      </c>
      <c r="D2" s="40">
        <v>3277</v>
      </c>
      <c r="E2" s="41">
        <f>SUM(B2:D2)</f>
        <v>6827</v>
      </c>
    </row>
    <row r="3" spans="1:5" x14ac:dyDescent="0.2">
      <c r="A3" s="42" t="s">
        <v>78</v>
      </c>
      <c r="B3" s="40">
        <v>1000</v>
      </c>
      <c r="C3" s="40" t="e" cm="1">
        <f t="array" ref="C3">REF</f>
        <v>#NAME?</v>
      </c>
      <c r="D3" s="40">
        <v>4004</v>
      </c>
      <c r="E3" s="41" t="e">
        <f>SUM(B3:D3)</f>
        <v>#NAME?</v>
      </c>
    </row>
    <row r="4" spans="1:5" x14ac:dyDescent="0.2">
      <c r="A4" s="42" t="s">
        <v>79</v>
      </c>
      <c r="B4" s="40">
        <v>3000</v>
      </c>
      <c r="C4" s="40">
        <v>2003</v>
      </c>
      <c r="D4" s="40">
        <v>2809</v>
      </c>
      <c r="E4" s="41">
        <f>SUM(B4:D4)</f>
        <v>7812</v>
      </c>
    </row>
    <row r="5" spans="1:5" x14ac:dyDescent="0.2">
      <c r="A5" s="43" t="s">
        <v>80</v>
      </c>
      <c r="B5" s="41">
        <f>SUM(B2:B4)</f>
        <v>6500</v>
      </c>
      <c r="C5" s="41" t="e">
        <f>SUM(C2:C4)</f>
        <v>#NAME?</v>
      </c>
      <c r="D5" s="41">
        <f>SUM(D2:D4)</f>
        <v>10090</v>
      </c>
      <c r="E5" s="41" t="e">
        <f>SUM(B5:D5)</f>
        <v>#NAME?</v>
      </c>
    </row>
    <row r="7" spans="1:5" x14ac:dyDescent="0.2">
      <c r="A7" t="s">
        <v>71</v>
      </c>
    </row>
    <row r="8" spans="1:5" x14ac:dyDescent="0.2">
      <c r="A8" t="s">
        <v>72</v>
      </c>
    </row>
    <row r="9" spans="1:5" x14ac:dyDescent="0.2">
      <c r="A9" t="s">
        <v>81</v>
      </c>
    </row>
    <row r="10" spans="1:5" x14ac:dyDescent="0.2">
      <c r="A10" t="s">
        <v>82</v>
      </c>
    </row>
    <row r="12" spans="1:5" x14ac:dyDescent="0.2">
      <c r="A12" t="s">
        <v>83</v>
      </c>
    </row>
    <row r="13" spans="1:5" x14ac:dyDescent="0.2">
      <c r="A13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6919-D7FA-9E4D-AC4F-6BBB9FF828E9}">
  <sheetPr codeName="Sheet8"/>
  <dimension ref="A1:D46"/>
  <sheetViews>
    <sheetView workbookViewId="0">
      <selection activeCell="D6" sqref="D6"/>
    </sheetView>
  </sheetViews>
  <sheetFormatPr baseColWidth="10" defaultRowHeight="16" x14ac:dyDescent="0.2"/>
  <cols>
    <col min="8" max="8" width="11.33203125" bestFit="1" customWidth="1"/>
  </cols>
  <sheetData>
    <row r="1" spans="1:4" x14ac:dyDescent="0.2">
      <c r="A1" t="s">
        <v>92</v>
      </c>
      <c r="B1" t="s">
        <v>93</v>
      </c>
    </row>
    <row r="2" spans="1:4" x14ac:dyDescent="0.2">
      <c r="A2" t="s">
        <v>94</v>
      </c>
      <c r="B2">
        <v>5</v>
      </c>
    </row>
    <row r="3" spans="1:4" x14ac:dyDescent="0.2">
      <c r="A3" t="s">
        <v>95</v>
      </c>
      <c r="B3">
        <v>5</v>
      </c>
    </row>
    <row r="4" spans="1:4" x14ac:dyDescent="0.2">
      <c r="A4" s="1" t="s">
        <v>96</v>
      </c>
      <c r="B4" s="1" t="s">
        <v>97</v>
      </c>
      <c r="C4" s="1"/>
      <c r="D4" s="1" t="s">
        <v>98</v>
      </c>
    </row>
    <row r="5" spans="1:4" x14ac:dyDescent="0.2">
      <c r="A5" s="1">
        <v>1</v>
      </c>
      <c r="B5" s="1">
        <v>3</v>
      </c>
      <c r="C5" s="1"/>
      <c r="D5" s="1" t="str">
        <f>IF(B5&gt;=$B$2,$A$2,$A$3)</f>
        <v xml:space="preserve">SUSPENSO </v>
      </c>
    </row>
    <row r="6" spans="1:4" x14ac:dyDescent="0.2">
      <c r="A6" s="1">
        <v>2</v>
      </c>
      <c r="B6" s="1">
        <v>0</v>
      </c>
      <c r="C6" s="1"/>
      <c r="D6" s="1" t="str">
        <f t="shared" ref="D6:D44" si="0">IF(B6&gt;=$B$2,$A$2,$A$3)</f>
        <v xml:space="preserve">SUSPENSO </v>
      </c>
    </row>
    <row r="7" spans="1:4" x14ac:dyDescent="0.2">
      <c r="A7" s="1">
        <v>3</v>
      </c>
      <c r="B7" s="1">
        <v>1</v>
      </c>
      <c r="C7" s="1"/>
      <c r="D7" s="1" t="str">
        <f t="shared" si="0"/>
        <v xml:space="preserve">SUSPENSO </v>
      </c>
    </row>
    <row r="8" spans="1:4" x14ac:dyDescent="0.2">
      <c r="A8" s="1">
        <v>4</v>
      </c>
      <c r="B8" s="1">
        <v>1</v>
      </c>
      <c r="C8" s="1"/>
      <c r="D8" s="1" t="str">
        <f t="shared" si="0"/>
        <v xml:space="preserve">SUSPENSO </v>
      </c>
    </row>
    <row r="9" spans="1:4" x14ac:dyDescent="0.2">
      <c r="A9" s="1">
        <v>5</v>
      </c>
      <c r="B9" s="1">
        <v>9</v>
      </c>
      <c r="C9" s="1"/>
      <c r="D9" s="1" t="str">
        <f t="shared" si="0"/>
        <v xml:space="preserve">APROBADO </v>
      </c>
    </row>
    <row r="10" spans="1:4" x14ac:dyDescent="0.2">
      <c r="A10" s="1">
        <v>6</v>
      </c>
      <c r="B10" s="1">
        <v>8</v>
      </c>
      <c r="C10" s="1"/>
      <c r="D10" s="1" t="str">
        <f t="shared" si="0"/>
        <v xml:space="preserve">APROBADO </v>
      </c>
    </row>
    <row r="11" spans="1:4" x14ac:dyDescent="0.2">
      <c r="A11" s="1">
        <v>7</v>
      </c>
      <c r="B11" s="1">
        <v>7</v>
      </c>
      <c r="C11" s="1"/>
      <c r="D11" s="1" t="str">
        <f t="shared" si="0"/>
        <v xml:space="preserve">APROBADO </v>
      </c>
    </row>
    <row r="12" spans="1:4" x14ac:dyDescent="0.2">
      <c r="A12" s="1">
        <v>8</v>
      </c>
      <c r="B12" s="1">
        <v>4</v>
      </c>
      <c r="C12" s="1"/>
      <c r="D12" s="1" t="str">
        <f t="shared" si="0"/>
        <v xml:space="preserve">SUSPENSO </v>
      </c>
    </row>
    <row r="13" spans="1:4" x14ac:dyDescent="0.2">
      <c r="A13" s="1">
        <v>9</v>
      </c>
      <c r="B13" s="1">
        <v>6</v>
      </c>
      <c r="C13" s="1"/>
      <c r="D13" s="1" t="str">
        <f t="shared" si="0"/>
        <v xml:space="preserve">APROBADO </v>
      </c>
    </row>
    <row r="14" spans="1:4" x14ac:dyDescent="0.2">
      <c r="A14" s="1">
        <v>10</v>
      </c>
      <c r="B14" s="1">
        <v>3</v>
      </c>
      <c r="C14" s="1"/>
      <c r="D14" s="1" t="str">
        <f t="shared" si="0"/>
        <v xml:space="preserve">SUSPENSO </v>
      </c>
    </row>
    <row r="15" spans="1:4" x14ac:dyDescent="0.2">
      <c r="A15" s="1">
        <v>11</v>
      </c>
      <c r="B15" s="1">
        <v>3</v>
      </c>
      <c r="C15" s="1"/>
      <c r="D15" s="1" t="str">
        <f t="shared" si="0"/>
        <v xml:space="preserve">SUSPENSO </v>
      </c>
    </row>
    <row r="16" spans="1:4" x14ac:dyDescent="0.2">
      <c r="A16" s="1">
        <v>12</v>
      </c>
      <c r="B16" s="1">
        <v>0</v>
      </c>
      <c r="C16" s="1"/>
      <c r="D16" s="1" t="str">
        <f t="shared" si="0"/>
        <v xml:space="preserve">SUSPENSO </v>
      </c>
    </row>
    <row r="17" spans="1:4" x14ac:dyDescent="0.2">
      <c r="A17" s="1">
        <v>13</v>
      </c>
      <c r="B17" s="1">
        <v>5</v>
      </c>
      <c r="C17" s="1"/>
      <c r="D17" s="1" t="str">
        <f t="shared" si="0"/>
        <v xml:space="preserve">APROBADO </v>
      </c>
    </row>
    <row r="18" spans="1:4" x14ac:dyDescent="0.2">
      <c r="A18" s="1">
        <v>14</v>
      </c>
      <c r="B18" s="1">
        <v>10</v>
      </c>
      <c r="C18" s="1"/>
      <c r="D18" s="1" t="str">
        <f t="shared" si="0"/>
        <v xml:space="preserve">APROBADO </v>
      </c>
    </row>
    <row r="19" spans="1:4" x14ac:dyDescent="0.2">
      <c r="A19" s="1">
        <v>15</v>
      </c>
      <c r="B19" s="1">
        <v>3</v>
      </c>
      <c r="C19" s="1"/>
      <c r="D19" s="1" t="str">
        <f t="shared" si="0"/>
        <v xml:space="preserve">SUSPENSO </v>
      </c>
    </row>
    <row r="20" spans="1:4" x14ac:dyDescent="0.2">
      <c r="A20" s="1">
        <v>16</v>
      </c>
      <c r="B20" s="1">
        <v>5</v>
      </c>
      <c r="C20" s="1"/>
      <c r="D20" s="1" t="str">
        <f t="shared" si="0"/>
        <v xml:space="preserve">APROBADO </v>
      </c>
    </row>
    <row r="21" spans="1:4" x14ac:dyDescent="0.2">
      <c r="A21" s="1">
        <v>17</v>
      </c>
      <c r="B21" s="1">
        <v>8</v>
      </c>
      <c r="C21" s="1"/>
      <c r="D21" s="1" t="str">
        <f t="shared" si="0"/>
        <v xml:space="preserve">APROBADO </v>
      </c>
    </row>
    <row r="22" spans="1:4" x14ac:dyDescent="0.2">
      <c r="A22" s="1">
        <v>18</v>
      </c>
      <c r="B22" s="1">
        <v>7</v>
      </c>
      <c r="C22" s="1"/>
      <c r="D22" s="1" t="str">
        <f t="shared" si="0"/>
        <v xml:space="preserve">APROBADO </v>
      </c>
    </row>
    <row r="23" spans="1:4" x14ac:dyDescent="0.2">
      <c r="A23" s="1">
        <v>19</v>
      </c>
      <c r="B23" s="1">
        <v>1</v>
      </c>
      <c r="C23" s="1"/>
      <c r="D23" s="1" t="str">
        <f t="shared" si="0"/>
        <v xml:space="preserve">SUSPENSO </v>
      </c>
    </row>
    <row r="24" spans="1:4" x14ac:dyDescent="0.2">
      <c r="A24" s="1">
        <v>20</v>
      </c>
      <c r="B24" s="1">
        <v>10</v>
      </c>
      <c r="C24" s="1"/>
      <c r="D24" s="1" t="str">
        <f t="shared" si="0"/>
        <v xml:space="preserve">APROBADO </v>
      </c>
    </row>
    <row r="25" spans="1:4" x14ac:dyDescent="0.2">
      <c r="A25" s="1">
        <v>21</v>
      </c>
      <c r="B25" s="1">
        <v>2</v>
      </c>
      <c r="C25" s="1"/>
      <c r="D25" s="1" t="str">
        <f t="shared" si="0"/>
        <v xml:space="preserve">SUSPENSO </v>
      </c>
    </row>
    <row r="26" spans="1:4" x14ac:dyDescent="0.2">
      <c r="A26" s="1">
        <v>22</v>
      </c>
      <c r="B26" s="1">
        <v>4</v>
      </c>
      <c r="C26" s="1"/>
      <c r="D26" s="1" t="str">
        <f t="shared" si="0"/>
        <v xml:space="preserve">SUSPENSO </v>
      </c>
    </row>
    <row r="27" spans="1:4" x14ac:dyDescent="0.2">
      <c r="A27" s="1">
        <v>23</v>
      </c>
      <c r="B27" s="1">
        <v>3</v>
      </c>
      <c r="C27" s="1"/>
      <c r="D27" s="1" t="str">
        <f t="shared" si="0"/>
        <v xml:space="preserve">SUSPENSO </v>
      </c>
    </row>
    <row r="28" spans="1:4" x14ac:dyDescent="0.2">
      <c r="A28" s="1">
        <v>24</v>
      </c>
      <c r="B28" s="1">
        <v>8</v>
      </c>
      <c r="C28" s="1"/>
      <c r="D28" s="1" t="str">
        <f t="shared" si="0"/>
        <v xml:space="preserve">APROBADO </v>
      </c>
    </row>
    <row r="29" spans="1:4" x14ac:dyDescent="0.2">
      <c r="A29" s="1">
        <v>25</v>
      </c>
      <c r="B29" s="1">
        <v>6</v>
      </c>
      <c r="C29" s="1"/>
      <c r="D29" s="1" t="str">
        <f t="shared" si="0"/>
        <v xml:space="preserve">APROBADO </v>
      </c>
    </row>
    <row r="30" spans="1:4" x14ac:dyDescent="0.2">
      <c r="A30" s="1">
        <v>26</v>
      </c>
      <c r="B30" s="1">
        <v>7</v>
      </c>
      <c r="C30" s="1"/>
      <c r="D30" s="1" t="str">
        <f t="shared" si="0"/>
        <v xml:space="preserve">APROBADO </v>
      </c>
    </row>
    <row r="31" spans="1:4" x14ac:dyDescent="0.2">
      <c r="A31" s="1">
        <v>27</v>
      </c>
      <c r="B31" s="1">
        <v>10</v>
      </c>
      <c r="C31" s="1"/>
      <c r="D31" s="1" t="str">
        <f t="shared" si="0"/>
        <v xml:space="preserve">APROBADO </v>
      </c>
    </row>
    <row r="32" spans="1:4" x14ac:dyDescent="0.2">
      <c r="A32" s="1">
        <v>28</v>
      </c>
      <c r="B32" s="1">
        <v>4</v>
      </c>
      <c r="C32" s="1"/>
      <c r="D32" s="1" t="str">
        <f t="shared" si="0"/>
        <v xml:space="preserve">SUSPENSO </v>
      </c>
    </row>
    <row r="33" spans="1:4" x14ac:dyDescent="0.2">
      <c r="A33" s="1">
        <v>29</v>
      </c>
      <c r="B33" s="1">
        <v>7</v>
      </c>
      <c r="C33" s="1"/>
      <c r="D33" s="1" t="str">
        <f t="shared" si="0"/>
        <v xml:space="preserve">APROBADO </v>
      </c>
    </row>
    <row r="34" spans="1:4" x14ac:dyDescent="0.2">
      <c r="A34" s="1">
        <v>30</v>
      </c>
      <c r="B34" s="1">
        <v>0</v>
      </c>
      <c r="C34" s="1"/>
      <c r="D34" s="1" t="str">
        <f t="shared" si="0"/>
        <v xml:space="preserve">SUSPENSO </v>
      </c>
    </row>
    <row r="35" spans="1:4" x14ac:dyDescent="0.2">
      <c r="A35" s="1">
        <v>31</v>
      </c>
      <c r="B35" s="1">
        <v>5</v>
      </c>
      <c r="C35" s="1"/>
      <c r="D35" s="1" t="str">
        <f t="shared" si="0"/>
        <v xml:space="preserve">APROBADO </v>
      </c>
    </row>
    <row r="36" spans="1:4" x14ac:dyDescent="0.2">
      <c r="A36" s="1">
        <v>32</v>
      </c>
      <c r="B36" s="1">
        <v>10</v>
      </c>
      <c r="C36" s="1"/>
      <c r="D36" s="1" t="str">
        <f t="shared" si="0"/>
        <v xml:space="preserve">APROBADO </v>
      </c>
    </row>
    <row r="37" spans="1:4" x14ac:dyDescent="0.2">
      <c r="A37" s="1">
        <v>33</v>
      </c>
      <c r="B37" s="1">
        <v>9</v>
      </c>
      <c r="C37" s="1"/>
      <c r="D37" s="1" t="str">
        <f t="shared" si="0"/>
        <v xml:space="preserve">APROBADO </v>
      </c>
    </row>
    <row r="38" spans="1:4" x14ac:dyDescent="0.2">
      <c r="A38" s="1">
        <v>34</v>
      </c>
      <c r="B38" s="1">
        <v>1</v>
      </c>
      <c r="C38" s="1"/>
      <c r="D38" s="1" t="str">
        <f t="shared" si="0"/>
        <v xml:space="preserve">SUSPENSO </v>
      </c>
    </row>
    <row r="39" spans="1:4" x14ac:dyDescent="0.2">
      <c r="A39" s="1">
        <v>35</v>
      </c>
      <c r="B39" s="1">
        <v>7</v>
      </c>
      <c r="C39" s="1"/>
      <c r="D39" s="1" t="str">
        <f t="shared" si="0"/>
        <v xml:space="preserve">APROBADO </v>
      </c>
    </row>
    <row r="40" spans="1:4" x14ac:dyDescent="0.2">
      <c r="A40" s="1">
        <v>36</v>
      </c>
      <c r="B40" s="1">
        <v>4</v>
      </c>
      <c r="C40" s="1"/>
      <c r="D40" s="1" t="str">
        <f t="shared" si="0"/>
        <v xml:space="preserve">SUSPENSO </v>
      </c>
    </row>
    <row r="41" spans="1:4" x14ac:dyDescent="0.2">
      <c r="A41" s="1">
        <v>37</v>
      </c>
      <c r="B41" s="1">
        <v>3</v>
      </c>
      <c r="C41" s="1"/>
      <c r="D41" s="1" t="str">
        <f t="shared" si="0"/>
        <v xml:space="preserve">SUSPENSO </v>
      </c>
    </row>
    <row r="42" spans="1:4" x14ac:dyDescent="0.2">
      <c r="A42" s="1">
        <v>38</v>
      </c>
      <c r="B42" s="1">
        <v>9</v>
      </c>
      <c r="C42" s="1"/>
      <c r="D42" s="1" t="str">
        <f t="shared" si="0"/>
        <v xml:space="preserve">APROBADO </v>
      </c>
    </row>
    <row r="43" spans="1:4" x14ac:dyDescent="0.2">
      <c r="A43" s="1">
        <v>39</v>
      </c>
      <c r="B43" s="1">
        <v>2</v>
      </c>
      <c r="C43" s="1"/>
      <c r="D43" s="1" t="str">
        <f t="shared" si="0"/>
        <v xml:space="preserve">SUSPENSO </v>
      </c>
    </row>
    <row r="44" spans="1:4" x14ac:dyDescent="0.2">
      <c r="A44" s="1">
        <v>40</v>
      </c>
      <c r="B44" s="1">
        <v>5</v>
      </c>
      <c r="C44" s="1"/>
      <c r="D44" s="1" t="str">
        <f t="shared" si="0"/>
        <v xml:space="preserve">APROBADO </v>
      </c>
    </row>
    <row r="46" spans="1:4" x14ac:dyDescent="0.2">
      <c r="A46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1102-9456-DE44-B058-6D03B7C5E706}">
  <sheetPr codeName="Sheet9"/>
  <dimension ref="A1:F42"/>
  <sheetViews>
    <sheetView workbookViewId="0">
      <selection activeCell="F3" sqref="F3"/>
    </sheetView>
  </sheetViews>
  <sheetFormatPr baseColWidth="10" defaultRowHeight="16" x14ac:dyDescent="0.2"/>
  <cols>
    <col min="1" max="1" width="15.83203125" customWidth="1"/>
    <col min="4" max="4" width="31.33203125" customWidth="1"/>
    <col min="5" max="5" width="15.1640625" customWidth="1"/>
    <col min="6" max="6" width="14.1640625" customWidth="1"/>
  </cols>
  <sheetData>
    <row r="1" spans="1:6" x14ac:dyDescent="0.2">
      <c r="A1" s="48" t="s">
        <v>99</v>
      </c>
      <c r="B1" s="48">
        <v>5</v>
      </c>
    </row>
    <row r="2" spans="1:6" x14ac:dyDescent="0.2">
      <c r="A2" s="49" t="s">
        <v>100</v>
      </c>
      <c r="B2" s="49" t="s">
        <v>101</v>
      </c>
      <c r="C2" s="49" t="s">
        <v>102</v>
      </c>
      <c r="D2" s="49" t="s">
        <v>103</v>
      </c>
      <c r="E2" s="49" t="s">
        <v>104</v>
      </c>
      <c r="F2" s="50" t="s">
        <v>106</v>
      </c>
    </row>
    <row r="3" spans="1:6" x14ac:dyDescent="0.2">
      <c r="A3" s="1">
        <v>1</v>
      </c>
      <c r="B3" s="1">
        <v>3</v>
      </c>
      <c r="C3" s="1">
        <v>5</v>
      </c>
      <c r="D3" s="1" t="b">
        <f>AND(B3&gt;=$B$1,C3&gt;=$B$1)</f>
        <v>0</v>
      </c>
      <c r="E3" s="1" t="str">
        <f>IF(D3,"Aprobado Tutti","KO")</f>
        <v>KO</v>
      </c>
      <c r="F3" s="1" t="str">
        <f>IF(AND(B3&gt;=$B$1,C3&gt;=$B$1),"Aprobado Tutti","KO")</f>
        <v>KO</v>
      </c>
    </row>
    <row r="4" spans="1:6" x14ac:dyDescent="0.2">
      <c r="A4" s="1">
        <v>2</v>
      </c>
      <c r="B4" s="1">
        <v>0</v>
      </c>
      <c r="C4" s="1">
        <v>5</v>
      </c>
      <c r="D4" s="1" t="b">
        <f t="shared" ref="D4:D42" si="0">AND(B4&gt;=$B$1,C4&gt;=$B$1)</f>
        <v>0</v>
      </c>
      <c r="E4" s="1" t="str">
        <f t="shared" ref="E4:E42" si="1">IF(D4,"Aprobado Tutti","KO")</f>
        <v>KO</v>
      </c>
      <c r="F4" s="1" t="str">
        <f t="shared" ref="F4:F42" si="2">IF(AND(B4&gt;=$B$1,C4&gt;=$B$1),"Aprobado Tutti","KO")</f>
        <v>KO</v>
      </c>
    </row>
    <row r="5" spans="1:6" x14ac:dyDescent="0.2">
      <c r="A5" s="1">
        <v>3</v>
      </c>
      <c r="B5" s="1">
        <v>1</v>
      </c>
      <c r="C5" s="1">
        <v>8</v>
      </c>
      <c r="D5" s="1" t="b">
        <f t="shared" si="0"/>
        <v>0</v>
      </c>
      <c r="E5" s="1" t="str">
        <f t="shared" si="1"/>
        <v>KO</v>
      </c>
      <c r="F5" s="1" t="str">
        <f t="shared" si="2"/>
        <v>KO</v>
      </c>
    </row>
    <row r="6" spans="1:6" x14ac:dyDescent="0.2">
      <c r="A6" s="1">
        <v>4</v>
      </c>
      <c r="B6" s="1">
        <v>1</v>
      </c>
      <c r="C6" s="1">
        <v>3</v>
      </c>
      <c r="D6" s="1" t="b">
        <f t="shared" si="0"/>
        <v>0</v>
      </c>
      <c r="E6" s="1" t="str">
        <f t="shared" si="1"/>
        <v>KO</v>
      </c>
      <c r="F6" s="1" t="str">
        <f t="shared" si="2"/>
        <v>KO</v>
      </c>
    </row>
    <row r="7" spans="1:6" x14ac:dyDescent="0.2">
      <c r="A7" s="1">
        <v>5</v>
      </c>
      <c r="B7" s="1">
        <v>9</v>
      </c>
      <c r="C7" s="1">
        <v>4</v>
      </c>
      <c r="D7" s="1" t="b">
        <f t="shared" si="0"/>
        <v>0</v>
      </c>
      <c r="E7" s="1" t="str">
        <f t="shared" si="1"/>
        <v>KO</v>
      </c>
      <c r="F7" s="1" t="str">
        <f t="shared" si="2"/>
        <v>KO</v>
      </c>
    </row>
    <row r="8" spans="1:6" x14ac:dyDescent="0.2">
      <c r="A8" s="1">
        <v>6</v>
      </c>
      <c r="B8" s="1">
        <v>8</v>
      </c>
      <c r="C8" s="1">
        <v>5</v>
      </c>
      <c r="D8" s="1" t="b">
        <f t="shared" si="0"/>
        <v>1</v>
      </c>
      <c r="E8" s="1" t="str">
        <f t="shared" si="1"/>
        <v>Aprobado Tutti</v>
      </c>
      <c r="F8" s="1" t="str">
        <f t="shared" si="2"/>
        <v>Aprobado Tutti</v>
      </c>
    </row>
    <row r="9" spans="1:6" x14ac:dyDescent="0.2">
      <c r="A9" s="1">
        <v>7</v>
      </c>
      <c r="B9" s="1">
        <v>7</v>
      </c>
      <c r="C9" s="1">
        <v>10</v>
      </c>
      <c r="D9" s="1" t="b">
        <f t="shared" si="0"/>
        <v>1</v>
      </c>
      <c r="E9" s="1" t="str">
        <f t="shared" si="1"/>
        <v>Aprobado Tutti</v>
      </c>
      <c r="F9" s="1" t="str">
        <f t="shared" si="2"/>
        <v>Aprobado Tutti</v>
      </c>
    </row>
    <row r="10" spans="1:6" x14ac:dyDescent="0.2">
      <c r="A10" s="1">
        <v>8</v>
      </c>
      <c r="B10" s="1">
        <v>4</v>
      </c>
      <c r="C10" s="1">
        <v>5</v>
      </c>
      <c r="D10" s="1" t="b">
        <f t="shared" si="0"/>
        <v>0</v>
      </c>
      <c r="E10" s="1" t="str">
        <f t="shared" si="1"/>
        <v>KO</v>
      </c>
      <c r="F10" s="1" t="str">
        <f t="shared" si="2"/>
        <v>KO</v>
      </c>
    </row>
    <row r="11" spans="1:6" x14ac:dyDescent="0.2">
      <c r="A11" s="1">
        <v>9</v>
      </c>
      <c r="B11" s="1">
        <v>6</v>
      </c>
      <c r="C11" s="1">
        <v>5</v>
      </c>
      <c r="D11" s="1" t="b">
        <f t="shared" si="0"/>
        <v>1</v>
      </c>
      <c r="E11" s="1" t="str">
        <f t="shared" si="1"/>
        <v>Aprobado Tutti</v>
      </c>
      <c r="F11" s="1" t="str">
        <f t="shared" si="2"/>
        <v>Aprobado Tutti</v>
      </c>
    </row>
    <row r="12" spans="1:6" x14ac:dyDescent="0.2">
      <c r="A12" s="1">
        <v>10</v>
      </c>
      <c r="B12" s="1">
        <v>3</v>
      </c>
      <c r="C12" s="1">
        <v>5</v>
      </c>
      <c r="D12" s="1" t="b">
        <f t="shared" si="0"/>
        <v>0</v>
      </c>
      <c r="E12" s="1" t="str">
        <f t="shared" si="1"/>
        <v>KO</v>
      </c>
      <c r="F12" s="1" t="str">
        <f t="shared" si="2"/>
        <v>KO</v>
      </c>
    </row>
    <row r="13" spans="1:6" x14ac:dyDescent="0.2">
      <c r="A13" s="1">
        <v>11</v>
      </c>
      <c r="B13" s="1">
        <v>3</v>
      </c>
      <c r="C13" s="1">
        <v>0</v>
      </c>
      <c r="D13" s="1" t="b">
        <f t="shared" si="0"/>
        <v>0</v>
      </c>
      <c r="E13" s="1" t="str">
        <f t="shared" si="1"/>
        <v>KO</v>
      </c>
      <c r="F13" s="1" t="str">
        <f t="shared" si="2"/>
        <v>KO</v>
      </c>
    </row>
    <row r="14" spans="1:6" x14ac:dyDescent="0.2">
      <c r="A14" s="1">
        <v>12</v>
      </c>
      <c r="B14" s="1">
        <v>0</v>
      </c>
      <c r="C14" s="1">
        <v>10</v>
      </c>
      <c r="D14" s="1" t="b">
        <f t="shared" si="0"/>
        <v>0</v>
      </c>
      <c r="E14" s="1" t="str">
        <f t="shared" si="1"/>
        <v>KO</v>
      </c>
      <c r="F14" s="1" t="str">
        <f t="shared" si="2"/>
        <v>KO</v>
      </c>
    </row>
    <row r="15" spans="1:6" x14ac:dyDescent="0.2">
      <c r="A15" s="1">
        <v>13</v>
      </c>
      <c r="B15" s="1">
        <v>5</v>
      </c>
      <c r="C15" s="1">
        <v>0</v>
      </c>
      <c r="D15" s="1" t="b">
        <f t="shared" si="0"/>
        <v>0</v>
      </c>
      <c r="E15" s="1" t="str">
        <f t="shared" si="1"/>
        <v>KO</v>
      </c>
      <c r="F15" s="1" t="str">
        <f t="shared" si="2"/>
        <v>KO</v>
      </c>
    </row>
    <row r="16" spans="1:6" x14ac:dyDescent="0.2">
      <c r="A16" s="1">
        <v>14</v>
      </c>
      <c r="B16" s="1">
        <v>10</v>
      </c>
      <c r="C16" s="1">
        <v>0</v>
      </c>
      <c r="D16" s="1" t="b">
        <f t="shared" si="0"/>
        <v>0</v>
      </c>
      <c r="E16" s="1" t="str">
        <f t="shared" si="1"/>
        <v>KO</v>
      </c>
      <c r="F16" s="1" t="str">
        <f t="shared" si="2"/>
        <v>KO</v>
      </c>
    </row>
    <row r="17" spans="1:6" x14ac:dyDescent="0.2">
      <c r="A17" s="1">
        <v>15</v>
      </c>
      <c r="B17" s="1">
        <v>3</v>
      </c>
      <c r="C17" s="1">
        <v>2</v>
      </c>
      <c r="D17" s="1" t="b">
        <f t="shared" si="0"/>
        <v>0</v>
      </c>
      <c r="E17" s="1" t="str">
        <f t="shared" si="1"/>
        <v>KO</v>
      </c>
      <c r="F17" s="1" t="str">
        <f t="shared" si="2"/>
        <v>KO</v>
      </c>
    </row>
    <row r="18" spans="1:6" x14ac:dyDescent="0.2">
      <c r="A18" s="1">
        <v>16</v>
      </c>
      <c r="B18" s="1">
        <v>5</v>
      </c>
      <c r="C18" s="1">
        <v>5</v>
      </c>
      <c r="D18" s="1" t="b">
        <f t="shared" si="0"/>
        <v>1</v>
      </c>
      <c r="E18" s="1" t="str">
        <f t="shared" si="1"/>
        <v>Aprobado Tutti</v>
      </c>
      <c r="F18" s="1" t="str">
        <f t="shared" si="2"/>
        <v>Aprobado Tutti</v>
      </c>
    </row>
    <row r="19" spans="1:6" x14ac:dyDescent="0.2">
      <c r="A19" s="1">
        <v>17</v>
      </c>
      <c r="B19" s="1">
        <v>8</v>
      </c>
      <c r="C19" s="1">
        <v>0</v>
      </c>
      <c r="D19" s="1" t="b">
        <f t="shared" si="0"/>
        <v>0</v>
      </c>
      <c r="E19" s="1" t="str">
        <f t="shared" si="1"/>
        <v>KO</v>
      </c>
      <c r="F19" s="1" t="str">
        <f t="shared" si="2"/>
        <v>KO</v>
      </c>
    </row>
    <row r="20" spans="1:6" x14ac:dyDescent="0.2">
      <c r="A20" s="1">
        <v>18</v>
      </c>
      <c r="B20" s="1">
        <v>7</v>
      </c>
      <c r="C20" s="1">
        <v>2</v>
      </c>
      <c r="D20" s="1" t="b">
        <f t="shared" si="0"/>
        <v>0</v>
      </c>
      <c r="E20" s="1" t="str">
        <f t="shared" si="1"/>
        <v>KO</v>
      </c>
      <c r="F20" s="1" t="str">
        <f t="shared" si="2"/>
        <v>KO</v>
      </c>
    </row>
    <row r="21" spans="1:6" x14ac:dyDescent="0.2">
      <c r="A21" s="1">
        <v>19</v>
      </c>
      <c r="B21" s="1">
        <v>1</v>
      </c>
      <c r="C21" s="1">
        <v>2</v>
      </c>
      <c r="D21" s="1" t="b">
        <f t="shared" si="0"/>
        <v>0</v>
      </c>
      <c r="E21" s="1" t="str">
        <f t="shared" si="1"/>
        <v>KO</v>
      </c>
      <c r="F21" s="1" t="str">
        <f t="shared" si="2"/>
        <v>KO</v>
      </c>
    </row>
    <row r="22" spans="1:6" x14ac:dyDescent="0.2">
      <c r="A22" s="1">
        <v>20</v>
      </c>
      <c r="B22" s="1">
        <v>10</v>
      </c>
      <c r="C22" s="1">
        <v>2</v>
      </c>
      <c r="D22" s="1" t="b">
        <f t="shared" si="0"/>
        <v>0</v>
      </c>
      <c r="E22" s="1" t="str">
        <f t="shared" si="1"/>
        <v>KO</v>
      </c>
      <c r="F22" s="1" t="str">
        <f t="shared" si="2"/>
        <v>KO</v>
      </c>
    </row>
    <row r="23" spans="1:6" x14ac:dyDescent="0.2">
      <c r="A23" s="1">
        <v>21</v>
      </c>
      <c r="B23" s="1">
        <v>2</v>
      </c>
      <c r="C23" s="1">
        <v>2</v>
      </c>
      <c r="D23" s="1" t="b">
        <f t="shared" si="0"/>
        <v>0</v>
      </c>
      <c r="E23" s="1" t="str">
        <f t="shared" si="1"/>
        <v>KO</v>
      </c>
      <c r="F23" s="1" t="str">
        <f t="shared" si="2"/>
        <v>KO</v>
      </c>
    </row>
    <row r="24" spans="1:6" x14ac:dyDescent="0.2">
      <c r="A24" s="1">
        <v>22</v>
      </c>
      <c r="B24" s="1">
        <v>4</v>
      </c>
      <c r="C24" s="1">
        <v>2</v>
      </c>
      <c r="D24" s="1" t="b">
        <f t="shared" si="0"/>
        <v>0</v>
      </c>
      <c r="E24" s="1" t="str">
        <f t="shared" si="1"/>
        <v>KO</v>
      </c>
      <c r="F24" s="1" t="str">
        <f t="shared" si="2"/>
        <v>KO</v>
      </c>
    </row>
    <row r="25" spans="1:6" x14ac:dyDescent="0.2">
      <c r="A25" s="1">
        <v>23</v>
      </c>
      <c r="B25" s="1">
        <v>3</v>
      </c>
      <c r="C25" s="1">
        <v>9</v>
      </c>
      <c r="D25" s="1" t="b">
        <f t="shared" si="0"/>
        <v>0</v>
      </c>
      <c r="E25" s="1" t="str">
        <f t="shared" si="1"/>
        <v>KO</v>
      </c>
      <c r="F25" s="1" t="str">
        <f t="shared" si="2"/>
        <v>KO</v>
      </c>
    </row>
    <row r="26" spans="1:6" x14ac:dyDescent="0.2">
      <c r="A26" s="1">
        <v>24</v>
      </c>
      <c r="B26" s="1">
        <v>8</v>
      </c>
      <c r="C26" s="1">
        <v>1</v>
      </c>
      <c r="D26" s="1" t="b">
        <f t="shared" si="0"/>
        <v>0</v>
      </c>
      <c r="E26" s="1" t="str">
        <f t="shared" si="1"/>
        <v>KO</v>
      </c>
      <c r="F26" s="1" t="str">
        <f t="shared" si="2"/>
        <v>KO</v>
      </c>
    </row>
    <row r="27" spans="1:6" x14ac:dyDescent="0.2">
      <c r="A27" s="1">
        <v>25</v>
      </c>
      <c r="B27" s="1">
        <v>6</v>
      </c>
      <c r="C27" s="1">
        <v>7</v>
      </c>
      <c r="D27" s="1" t="b">
        <f t="shared" si="0"/>
        <v>1</v>
      </c>
      <c r="E27" s="1" t="str">
        <f t="shared" si="1"/>
        <v>Aprobado Tutti</v>
      </c>
      <c r="F27" s="1" t="str">
        <f t="shared" si="2"/>
        <v>Aprobado Tutti</v>
      </c>
    </row>
    <row r="28" spans="1:6" x14ac:dyDescent="0.2">
      <c r="A28" s="1">
        <v>26</v>
      </c>
      <c r="B28" s="1">
        <v>7</v>
      </c>
      <c r="C28" s="1">
        <v>4</v>
      </c>
      <c r="D28" s="1" t="b">
        <f t="shared" si="0"/>
        <v>0</v>
      </c>
      <c r="E28" s="1" t="str">
        <f t="shared" si="1"/>
        <v>KO</v>
      </c>
      <c r="F28" s="1" t="str">
        <f t="shared" si="2"/>
        <v>KO</v>
      </c>
    </row>
    <row r="29" spans="1:6" x14ac:dyDescent="0.2">
      <c r="A29" s="1">
        <v>27</v>
      </c>
      <c r="B29" s="1">
        <v>10</v>
      </c>
      <c r="C29" s="1">
        <v>6</v>
      </c>
      <c r="D29" s="1" t="b">
        <f t="shared" si="0"/>
        <v>1</v>
      </c>
      <c r="E29" s="1" t="str">
        <f t="shared" si="1"/>
        <v>Aprobado Tutti</v>
      </c>
      <c r="F29" s="1" t="str">
        <f t="shared" si="2"/>
        <v>Aprobado Tutti</v>
      </c>
    </row>
    <row r="30" spans="1:6" x14ac:dyDescent="0.2">
      <c r="A30" s="1">
        <v>28</v>
      </c>
      <c r="B30" s="1">
        <v>4</v>
      </c>
      <c r="C30" s="1">
        <v>0</v>
      </c>
      <c r="D30" s="1" t="b">
        <f t="shared" si="0"/>
        <v>0</v>
      </c>
      <c r="E30" s="1" t="str">
        <f t="shared" si="1"/>
        <v>KO</v>
      </c>
      <c r="F30" s="1" t="str">
        <f t="shared" si="2"/>
        <v>KO</v>
      </c>
    </row>
    <row r="31" spans="1:6" x14ac:dyDescent="0.2">
      <c r="A31" s="1">
        <v>29</v>
      </c>
      <c r="B31" s="1">
        <v>7</v>
      </c>
      <c r="C31" s="1">
        <v>6</v>
      </c>
      <c r="D31" s="1" t="b">
        <f t="shared" si="0"/>
        <v>1</v>
      </c>
      <c r="E31" s="1" t="str">
        <f t="shared" si="1"/>
        <v>Aprobado Tutti</v>
      </c>
      <c r="F31" s="1" t="str">
        <f t="shared" si="2"/>
        <v>Aprobado Tutti</v>
      </c>
    </row>
    <row r="32" spans="1:6" x14ac:dyDescent="0.2">
      <c r="A32" s="1">
        <v>30</v>
      </c>
      <c r="B32" s="1">
        <v>0</v>
      </c>
      <c r="C32" s="1">
        <v>5</v>
      </c>
      <c r="D32" s="1" t="b">
        <f t="shared" si="0"/>
        <v>0</v>
      </c>
      <c r="E32" s="1" t="str">
        <f t="shared" si="1"/>
        <v>KO</v>
      </c>
      <c r="F32" s="1" t="str">
        <f t="shared" si="2"/>
        <v>KO</v>
      </c>
    </row>
    <row r="33" spans="1:6" x14ac:dyDescent="0.2">
      <c r="A33" s="1">
        <v>31</v>
      </c>
      <c r="B33" s="1">
        <v>5</v>
      </c>
      <c r="C33" s="1">
        <v>4</v>
      </c>
      <c r="D33" s="1" t="b">
        <f t="shared" si="0"/>
        <v>0</v>
      </c>
      <c r="E33" s="1" t="str">
        <f t="shared" si="1"/>
        <v>KO</v>
      </c>
      <c r="F33" s="1" t="str">
        <f t="shared" si="2"/>
        <v>KO</v>
      </c>
    </row>
    <row r="34" spans="1:6" x14ac:dyDescent="0.2">
      <c r="A34" s="1">
        <v>32</v>
      </c>
      <c r="B34" s="1">
        <v>10</v>
      </c>
      <c r="C34" s="1">
        <v>3</v>
      </c>
      <c r="D34" s="1" t="b">
        <f t="shared" si="0"/>
        <v>0</v>
      </c>
      <c r="E34" s="1" t="str">
        <f t="shared" si="1"/>
        <v>KO</v>
      </c>
      <c r="F34" s="1" t="str">
        <f t="shared" si="2"/>
        <v>KO</v>
      </c>
    </row>
    <row r="35" spans="1:6" x14ac:dyDescent="0.2">
      <c r="A35" s="1">
        <v>33</v>
      </c>
      <c r="B35" s="1">
        <v>9</v>
      </c>
      <c r="C35" s="1">
        <v>9</v>
      </c>
      <c r="D35" s="1" t="b">
        <f t="shared" si="0"/>
        <v>1</v>
      </c>
      <c r="E35" s="1" t="str">
        <f t="shared" si="1"/>
        <v>Aprobado Tutti</v>
      </c>
      <c r="F35" s="1" t="str">
        <f t="shared" si="2"/>
        <v>Aprobado Tutti</v>
      </c>
    </row>
    <row r="36" spans="1:6" x14ac:dyDescent="0.2">
      <c r="A36" s="1">
        <v>34</v>
      </c>
      <c r="B36" s="1">
        <v>1</v>
      </c>
      <c r="C36" s="1">
        <v>4</v>
      </c>
      <c r="D36" s="1" t="b">
        <f t="shared" si="0"/>
        <v>0</v>
      </c>
      <c r="E36" s="1" t="str">
        <f t="shared" si="1"/>
        <v>KO</v>
      </c>
      <c r="F36" s="1" t="str">
        <f t="shared" si="2"/>
        <v>KO</v>
      </c>
    </row>
    <row r="37" spans="1:6" x14ac:dyDescent="0.2">
      <c r="A37" s="1">
        <v>35</v>
      </c>
      <c r="B37" s="1">
        <v>7</v>
      </c>
      <c r="C37" s="1">
        <v>9</v>
      </c>
      <c r="D37" s="1" t="b">
        <f t="shared" si="0"/>
        <v>1</v>
      </c>
      <c r="E37" s="1" t="str">
        <f t="shared" si="1"/>
        <v>Aprobado Tutti</v>
      </c>
      <c r="F37" s="1" t="str">
        <f t="shared" si="2"/>
        <v>Aprobado Tutti</v>
      </c>
    </row>
    <row r="38" spans="1:6" x14ac:dyDescent="0.2">
      <c r="A38" s="1">
        <v>36</v>
      </c>
      <c r="B38" s="1">
        <v>4</v>
      </c>
      <c r="C38" s="1">
        <v>1</v>
      </c>
      <c r="D38" s="1" t="b">
        <f t="shared" si="0"/>
        <v>0</v>
      </c>
      <c r="E38" s="1" t="str">
        <f t="shared" si="1"/>
        <v>KO</v>
      </c>
      <c r="F38" s="1" t="str">
        <f t="shared" si="2"/>
        <v>KO</v>
      </c>
    </row>
    <row r="39" spans="1:6" x14ac:dyDescent="0.2">
      <c r="A39" s="1">
        <v>37</v>
      </c>
      <c r="B39" s="1">
        <v>3</v>
      </c>
      <c r="C39" s="1">
        <v>10</v>
      </c>
      <c r="D39" s="1" t="b">
        <f t="shared" si="0"/>
        <v>0</v>
      </c>
      <c r="E39" s="1" t="str">
        <f t="shared" si="1"/>
        <v>KO</v>
      </c>
      <c r="F39" s="1" t="str">
        <f t="shared" si="2"/>
        <v>KO</v>
      </c>
    </row>
    <row r="40" spans="1:6" x14ac:dyDescent="0.2">
      <c r="A40" s="1">
        <v>38</v>
      </c>
      <c r="B40" s="1">
        <v>9</v>
      </c>
      <c r="C40" s="1">
        <v>0</v>
      </c>
      <c r="D40" s="1" t="b">
        <f t="shared" si="0"/>
        <v>0</v>
      </c>
      <c r="E40" s="1" t="str">
        <f t="shared" si="1"/>
        <v>KO</v>
      </c>
      <c r="F40" s="1" t="str">
        <f t="shared" si="2"/>
        <v>KO</v>
      </c>
    </row>
    <row r="41" spans="1:6" x14ac:dyDescent="0.2">
      <c r="A41" s="1">
        <v>39</v>
      </c>
      <c r="B41" s="1">
        <v>2</v>
      </c>
      <c r="C41" s="1">
        <v>2</v>
      </c>
      <c r="D41" s="1" t="b">
        <f t="shared" si="0"/>
        <v>0</v>
      </c>
      <c r="E41" s="1" t="str">
        <f t="shared" si="1"/>
        <v>KO</v>
      </c>
      <c r="F41" s="1" t="str">
        <f t="shared" si="2"/>
        <v>KO</v>
      </c>
    </row>
    <row r="42" spans="1:6" x14ac:dyDescent="0.2">
      <c r="A42" s="1">
        <v>40</v>
      </c>
      <c r="B42" s="1">
        <v>5</v>
      </c>
      <c r="C42" s="1">
        <v>2</v>
      </c>
      <c r="D42" s="1" t="b">
        <f t="shared" si="0"/>
        <v>0</v>
      </c>
      <c r="E42" s="1" t="str">
        <f t="shared" si="1"/>
        <v>KO</v>
      </c>
      <c r="F42" s="1" t="str">
        <f t="shared" si="2"/>
        <v>KO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317E-A52E-AF48-B984-36B2AFE53527}">
  <sheetPr codeName="Sheet10"/>
  <dimension ref="A1:O32"/>
  <sheetViews>
    <sheetView showGridLines="0" workbookViewId="0">
      <selection activeCell="P25" sqref="P25"/>
    </sheetView>
  </sheetViews>
  <sheetFormatPr baseColWidth="10" defaultRowHeight="16" x14ac:dyDescent="0.2"/>
  <cols>
    <col min="2" max="2" width="11.6640625" style="64" customWidth="1"/>
    <col min="3" max="3" width="10.83203125" style="64"/>
  </cols>
  <sheetData>
    <row r="1" spans="1:15" x14ac:dyDescent="0.2">
      <c r="A1" s="51" t="s">
        <v>107</v>
      </c>
      <c r="B1" s="52" t="s">
        <v>108</v>
      </c>
      <c r="C1" s="52" t="s">
        <v>109</v>
      </c>
      <c r="D1" s="51" t="s">
        <v>110</v>
      </c>
      <c r="E1" s="51" t="s">
        <v>111</v>
      </c>
    </row>
    <row r="2" spans="1:15" x14ac:dyDescent="0.2">
      <c r="A2" s="53" t="s">
        <v>113</v>
      </c>
      <c r="B2" s="54">
        <v>2000</v>
      </c>
      <c r="C2" s="54">
        <v>10000</v>
      </c>
      <c r="D2" s="55">
        <f>(B2/C2)</f>
        <v>0.2</v>
      </c>
      <c r="E2" s="55">
        <f>1-D2</f>
        <v>0.8</v>
      </c>
    </row>
    <row r="3" spans="1:15" x14ac:dyDescent="0.2">
      <c r="A3" s="56" t="s">
        <v>112</v>
      </c>
      <c r="B3" s="57">
        <v>7000</v>
      </c>
      <c r="C3" s="57">
        <v>12000</v>
      </c>
      <c r="D3" s="58">
        <f t="shared" ref="D3:D4" si="0">(B3/C3)</f>
        <v>0.58333333333333337</v>
      </c>
      <c r="E3" s="58">
        <f t="shared" ref="E3:E4" si="1">1-D3</f>
        <v>0.41666666666666663</v>
      </c>
    </row>
    <row r="4" spans="1:15" x14ac:dyDescent="0.2">
      <c r="A4" s="59" t="s">
        <v>77</v>
      </c>
      <c r="B4" s="60">
        <v>5600</v>
      </c>
      <c r="C4" s="60">
        <v>8000</v>
      </c>
      <c r="D4" s="61">
        <f t="shared" si="0"/>
        <v>0.7</v>
      </c>
      <c r="E4" s="61">
        <f t="shared" si="1"/>
        <v>0.30000000000000004</v>
      </c>
    </row>
    <row r="5" spans="1:15" x14ac:dyDescent="0.2">
      <c r="A5" s="62"/>
      <c r="B5" s="63"/>
      <c r="C5" s="63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</row>
    <row r="6" spans="1:15" x14ac:dyDescent="0.2">
      <c r="A6" s="62"/>
      <c r="B6" s="63"/>
      <c r="C6" s="63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</row>
    <row r="7" spans="1:15" x14ac:dyDescent="0.2">
      <c r="A7" s="62"/>
      <c r="B7" s="63"/>
      <c r="C7" s="63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 x14ac:dyDescent="0.2">
      <c r="A8" s="62"/>
      <c r="B8" s="63"/>
      <c r="C8" s="63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</row>
    <row r="9" spans="1:15" x14ac:dyDescent="0.2">
      <c r="A9" s="62"/>
      <c r="B9" s="63"/>
      <c r="C9" s="63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</row>
    <row r="10" spans="1:15" x14ac:dyDescent="0.2">
      <c r="A10" s="62"/>
      <c r="B10" s="63"/>
      <c r="C10" s="63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</row>
    <row r="11" spans="1:15" x14ac:dyDescent="0.2">
      <c r="A11" s="62"/>
      <c r="B11" s="63"/>
      <c r="C11" s="6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</row>
    <row r="12" spans="1:15" x14ac:dyDescent="0.2">
      <c r="A12" s="62"/>
      <c r="B12" s="63"/>
      <c r="C12" s="63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</row>
    <row r="13" spans="1:15" x14ac:dyDescent="0.2">
      <c r="A13" s="62"/>
      <c r="B13" s="63"/>
      <c r="C13" s="63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</row>
    <row r="14" spans="1:15" x14ac:dyDescent="0.2">
      <c r="A14" s="62"/>
      <c r="B14" s="63"/>
      <c r="C14" s="63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</row>
    <row r="15" spans="1:15" x14ac:dyDescent="0.2">
      <c r="A15" s="62"/>
      <c r="B15" s="63"/>
      <c r="C15" s="63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 spans="1:15" x14ac:dyDescent="0.2">
      <c r="A16" s="62"/>
      <c r="B16" s="63"/>
      <c r="C16" s="63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</row>
    <row r="17" spans="1:15" x14ac:dyDescent="0.2">
      <c r="A17" s="62"/>
      <c r="B17" s="63"/>
      <c r="C17" s="63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</row>
    <row r="18" spans="1:15" x14ac:dyDescent="0.2">
      <c r="A18" s="62"/>
      <c r="B18" s="63"/>
      <c r="C18" s="63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</row>
    <row r="19" spans="1:15" x14ac:dyDescent="0.2">
      <c r="A19" s="62"/>
      <c r="B19" s="63"/>
      <c r="C19" s="63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</row>
    <row r="20" spans="1:15" x14ac:dyDescent="0.2">
      <c r="A20" s="62"/>
      <c r="B20" s="63"/>
      <c r="C20" s="63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</row>
    <row r="21" spans="1:15" x14ac:dyDescent="0.2">
      <c r="A21" s="62"/>
      <c r="B21" s="63"/>
      <c r="C21" s="63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1:15" x14ac:dyDescent="0.2">
      <c r="A22" s="62"/>
      <c r="B22" s="63"/>
      <c r="C22" s="63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</row>
    <row r="23" spans="1:15" x14ac:dyDescent="0.2">
      <c r="A23" s="62"/>
      <c r="B23" s="63"/>
      <c r="C23" s="63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</row>
    <row r="24" spans="1:15" x14ac:dyDescent="0.2">
      <c r="A24" s="62"/>
      <c r="B24" s="63"/>
      <c r="C24" s="63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</row>
    <row r="25" spans="1:15" x14ac:dyDescent="0.2">
      <c r="A25" s="62"/>
      <c r="B25" s="63"/>
      <c r="C25" s="63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</row>
    <row r="26" spans="1:15" x14ac:dyDescent="0.2">
      <c r="A26" s="62"/>
      <c r="B26" s="63"/>
      <c r="C26" s="63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</row>
    <row r="27" spans="1:15" x14ac:dyDescent="0.2">
      <c r="A27" s="62"/>
      <c r="B27" s="63"/>
      <c r="C27" s="63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</row>
    <row r="28" spans="1:15" x14ac:dyDescent="0.2">
      <c r="A28" s="62"/>
      <c r="B28" s="63"/>
      <c r="C28" s="63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</row>
    <row r="29" spans="1:15" x14ac:dyDescent="0.2">
      <c r="A29" s="62"/>
      <c r="B29" s="63"/>
      <c r="C29" s="63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</row>
    <row r="30" spans="1:15" x14ac:dyDescent="0.2">
      <c r="A30" s="62"/>
      <c r="B30" s="63"/>
      <c r="C30" s="63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</row>
    <row r="31" spans="1:15" x14ac:dyDescent="0.2">
      <c r="A31" s="62"/>
      <c r="B31" s="63"/>
      <c r="C31" s="63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</row>
    <row r="32" spans="1:15" x14ac:dyDescent="0.2">
      <c r="A32" s="62"/>
      <c r="B32" s="63"/>
      <c r="C32" s="63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71FC-19D6-B948-8C4A-0DD4B997DC32}">
  <sheetPr codeName="Sheet11"/>
  <dimension ref="A1:C7"/>
  <sheetViews>
    <sheetView zoomScaleNormal="100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114</v>
      </c>
      <c r="B1">
        <v>2022</v>
      </c>
      <c r="C1">
        <v>2026</v>
      </c>
    </row>
    <row r="2" spans="1:3" x14ac:dyDescent="0.2">
      <c r="A2" t="s">
        <v>115</v>
      </c>
      <c r="B2" s="65">
        <v>0.55000000000000004</v>
      </c>
      <c r="C2" s="65">
        <v>0.66</v>
      </c>
    </row>
    <row r="3" spans="1:3" x14ac:dyDescent="0.2">
      <c r="A3" t="s">
        <v>116</v>
      </c>
      <c r="B3" s="65">
        <v>0.18</v>
      </c>
      <c r="C3" s="65">
        <v>0.28000000000000003</v>
      </c>
    </row>
    <row r="4" spans="1:3" x14ac:dyDescent="0.2">
      <c r="A4" t="s">
        <v>117</v>
      </c>
      <c r="B4" s="65">
        <v>0.15</v>
      </c>
      <c r="C4" s="65">
        <v>0.06</v>
      </c>
    </row>
    <row r="5" spans="1:3" x14ac:dyDescent="0.2">
      <c r="A5" t="s">
        <v>118</v>
      </c>
      <c r="B5" s="65">
        <v>0.08</v>
      </c>
      <c r="C5" s="65">
        <v>0</v>
      </c>
    </row>
    <row r="6" spans="1:3" x14ac:dyDescent="0.2">
      <c r="A6" t="s">
        <v>119</v>
      </c>
      <c r="B6" s="65">
        <v>0.04</v>
      </c>
      <c r="C6" s="65">
        <v>0</v>
      </c>
    </row>
    <row r="7" spans="1:3" x14ac:dyDescent="0.2">
      <c r="A7" t="s">
        <v>80</v>
      </c>
      <c r="B7" s="66">
        <f>SUM(B2:B6)</f>
        <v>1</v>
      </c>
      <c r="C7" s="66">
        <f>SUM(C2:C6)</f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35A5-CED3-2448-9C5F-E8D2849F5690}">
  <sheetPr codeName="Sheet12"/>
  <dimension ref="A1:H17"/>
  <sheetViews>
    <sheetView zoomScale="150" zoomScaleNormal="150" workbookViewId="0">
      <selection activeCell="H13" sqref="H13"/>
    </sheetView>
  </sheetViews>
  <sheetFormatPr baseColWidth="10" defaultRowHeight="16" x14ac:dyDescent="0.2"/>
  <cols>
    <col min="1" max="1" width="17.5" customWidth="1"/>
    <col min="2" max="2" width="14" customWidth="1"/>
    <col min="4" max="4" width="14" customWidth="1"/>
    <col min="5" max="5" width="25.1640625" customWidth="1"/>
    <col min="6" max="6" width="15.5" customWidth="1"/>
  </cols>
  <sheetData>
    <row r="1" spans="1:8" x14ac:dyDescent="0.2">
      <c r="A1" t="s">
        <v>120</v>
      </c>
      <c r="B1" t="s">
        <v>121</v>
      </c>
      <c r="C1" t="s">
        <v>122</v>
      </c>
    </row>
    <row r="2" spans="1:8" x14ac:dyDescent="0.2">
      <c r="A2" s="69" t="s">
        <v>132</v>
      </c>
      <c r="B2" t="s">
        <v>123</v>
      </c>
      <c r="C2">
        <v>45</v>
      </c>
      <c r="E2" t="s">
        <v>133</v>
      </c>
    </row>
    <row r="3" spans="1:8" x14ac:dyDescent="0.2">
      <c r="A3" s="69" t="s">
        <v>131</v>
      </c>
      <c r="B3" t="s">
        <v>124</v>
      </c>
      <c r="C3">
        <v>21</v>
      </c>
      <c r="E3" t="s">
        <v>134</v>
      </c>
      <c r="F3" t="s">
        <v>131</v>
      </c>
    </row>
    <row r="4" spans="1:8" x14ac:dyDescent="0.2">
      <c r="A4" s="69" t="s">
        <v>129</v>
      </c>
      <c r="B4" t="s">
        <v>125</v>
      </c>
      <c r="C4">
        <v>24</v>
      </c>
    </row>
    <row r="5" spans="1:8" x14ac:dyDescent="0.2">
      <c r="A5" s="69" t="s">
        <v>130</v>
      </c>
      <c r="B5" t="s">
        <v>126</v>
      </c>
      <c r="C5">
        <v>34</v>
      </c>
    </row>
    <row r="6" spans="1:8" x14ac:dyDescent="0.2">
      <c r="A6" s="69" t="s">
        <v>128</v>
      </c>
      <c r="B6" t="s">
        <v>127</v>
      </c>
      <c r="C6">
        <v>33</v>
      </c>
    </row>
    <row r="7" spans="1:8" x14ac:dyDescent="0.2">
      <c r="E7" t="s">
        <v>135</v>
      </c>
      <c r="F7" t="str">
        <f>VLOOKUP(F3,Empleados[],2)</f>
        <v>Lucas Pérez</v>
      </c>
    </row>
    <row r="8" spans="1:8" x14ac:dyDescent="0.2">
      <c r="E8" t="s">
        <v>136</v>
      </c>
    </row>
    <row r="9" spans="1:8" x14ac:dyDescent="0.2">
      <c r="E9" t="s">
        <v>137</v>
      </c>
    </row>
    <row r="12" spans="1:8" x14ac:dyDescent="0.2">
      <c r="A12" s="70" t="s">
        <v>120</v>
      </c>
      <c r="B12" s="73" t="s">
        <v>132</v>
      </c>
      <c r="C12" s="76" t="s">
        <v>131</v>
      </c>
      <c r="D12" s="73" t="s">
        <v>129</v>
      </c>
      <c r="E12" s="76" t="s">
        <v>130</v>
      </c>
      <c r="F12" s="79" t="s">
        <v>128</v>
      </c>
    </row>
    <row r="13" spans="1:8" x14ac:dyDescent="0.2">
      <c r="A13" s="71" t="s">
        <v>121</v>
      </c>
      <c r="B13" s="74" t="s">
        <v>123</v>
      </c>
      <c r="C13" s="77" t="s">
        <v>124</v>
      </c>
      <c r="D13" s="74" t="s">
        <v>125</v>
      </c>
      <c r="E13" s="77" t="s">
        <v>126</v>
      </c>
      <c r="F13" s="67" t="s">
        <v>127</v>
      </c>
      <c r="H13" t="str">
        <f>HLOOKUP(F3,A12:F14,2)</f>
        <v>Lucas Pérez</v>
      </c>
    </row>
    <row r="14" spans="1:8" x14ac:dyDescent="0.2">
      <c r="A14" s="72" t="s">
        <v>122</v>
      </c>
      <c r="B14" s="75">
        <v>45</v>
      </c>
      <c r="C14" s="78">
        <v>21</v>
      </c>
      <c r="D14" s="75">
        <v>24</v>
      </c>
      <c r="E14" s="78">
        <v>34</v>
      </c>
      <c r="F14" s="68">
        <v>33</v>
      </c>
    </row>
    <row r="15" spans="1:8" x14ac:dyDescent="0.2">
      <c r="H15" t="s">
        <v>138</v>
      </c>
    </row>
    <row r="16" spans="1:8" x14ac:dyDescent="0.2">
      <c r="H16" t="s">
        <v>136</v>
      </c>
    </row>
    <row r="17" spans="8:8" x14ac:dyDescent="0.2">
      <c r="H17" t="s">
        <v>139</v>
      </c>
    </row>
  </sheetData>
  <dataValidations count="1">
    <dataValidation type="list" allowBlank="1" showInputMessage="1" showErrorMessage="1" sqref="F3" xr:uid="{B49A39A3-9474-0342-90D2-D1CE5989B58C}">
      <formula1>$A$2:$A$6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0264-4681-5345-93B7-6D1F58E991E1}">
  <sheetPr codeName="Sheet13"/>
  <dimension ref="A1:U104"/>
  <sheetViews>
    <sheetView topLeftCell="E7" zoomScale="75" workbookViewId="0">
      <selection activeCell="F18" sqref="A2:N56"/>
    </sheetView>
  </sheetViews>
  <sheetFormatPr baseColWidth="10" defaultRowHeight="16" x14ac:dyDescent="0.2"/>
  <cols>
    <col min="1" max="1" width="15" customWidth="1"/>
    <col min="2" max="2" width="16.1640625" customWidth="1"/>
    <col min="3" max="3" width="23.6640625" customWidth="1"/>
    <col min="4" max="4" width="16.83203125" customWidth="1"/>
    <col min="5" max="5" width="23.6640625" style="91" bestFit="1" customWidth="1"/>
    <col min="6" max="6" width="19.83203125" bestFit="1" customWidth="1"/>
    <col min="7" max="7" width="13.83203125" customWidth="1"/>
    <col min="8" max="8" width="18.1640625" bestFit="1" customWidth="1"/>
    <col min="9" max="9" width="19.83203125" bestFit="1" customWidth="1"/>
    <col min="10" max="10" width="15.83203125" customWidth="1"/>
    <col min="11" max="11" width="11.1640625" customWidth="1"/>
    <col min="12" max="12" width="21.33203125" customWidth="1"/>
    <col min="13" max="13" width="20" bestFit="1" customWidth="1"/>
    <col min="14" max="14" width="23" bestFit="1" customWidth="1"/>
    <col min="15" max="31" width="6.1640625" bestFit="1" customWidth="1"/>
    <col min="32" max="52" width="7.1640625" bestFit="1" customWidth="1"/>
    <col min="53" max="64" width="8.1640625" bestFit="1" customWidth="1"/>
    <col min="65" max="65" width="11.6640625" bestFit="1" customWidth="1"/>
  </cols>
  <sheetData>
    <row r="1" spans="1:19" x14ac:dyDescent="0.2">
      <c r="A1" s="87" t="s">
        <v>141</v>
      </c>
      <c r="B1" s="87" t="s">
        <v>142</v>
      </c>
      <c r="C1" s="87" t="s">
        <v>143</v>
      </c>
      <c r="D1" s="87" t="s">
        <v>413</v>
      </c>
      <c r="E1" s="88" t="s">
        <v>144</v>
      </c>
      <c r="F1" s="87" t="s">
        <v>145</v>
      </c>
      <c r="G1" s="87" t="s">
        <v>146</v>
      </c>
      <c r="H1" s="87" t="s">
        <v>147</v>
      </c>
      <c r="I1" s="87" t="s">
        <v>148</v>
      </c>
      <c r="J1" s="87" t="s">
        <v>312</v>
      </c>
      <c r="K1" s="87" t="s">
        <v>140</v>
      </c>
      <c r="L1" s="87" t="s">
        <v>149</v>
      </c>
      <c r="M1" s="87" t="s">
        <v>150</v>
      </c>
      <c r="N1" s="87" t="s">
        <v>151</v>
      </c>
    </row>
    <row r="2" spans="1:19" x14ac:dyDescent="0.2">
      <c r="A2" s="80">
        <v>45171</v>
      </c>
      <c r="B2" s="81" t="s">
        <v>152</v>
      </c>
      <c r="C2" s="81" t="s">
        <v>153</v>
      </c>
      <c r="D2" s="81">
        <v>3</v>
      </c>
      <c r="E2" s="89">
        <v>89999</v>
      </c>
      <c r="F2" s="81">
        <v>269997</v>
      </c>
      <c r="G2" s="81" t="s">
        <v>154</v>
      </c>
      <c r="H2" s="81" t="s">
        <v>155</v>
      </c>
      <c r="I2" s="81" t="s">
        <v>156</v>
      </c>
      <c r="J2" s="81" t="s">
        <v>157</v>
      </c>
      <c r="K2" s="81" t="s">
        <v>158</v>
      </c>
      <c r="L2" s="81" t="s">
        <v>159</v>
      </c>
      <c r="M2" s="83">
        <v>70000</v>
      </c>
      <c r="N2" s="81"/>
    </row>
    <row r="3" spans="1:19" x14ac:dyDescent="0.2">
      <c r="A3" s="85">
        <v>45170</v>
      </c>
      <c r="B3" s="84" t="s">
        <v>160</v>
      </c>
      <c r="C3" s="84" t="s">
        <v>161</v>
      </c>
      <c r="D3" s="84">
        <v>2</v>
      </c>
      <c r="E3" s="90">
        <v>129999</v>
      </c>
      <c r="F3" s="84">
        <v>259998</v>
      </c>
      <c r="G3" s="84" t="s">
        <v>162</v>
      </c>
      <c r="H3" s="84" t="s">
        <v>163</v>
      </c>
      <c r="I3" s="84" t="s">
        <v>164</v>
      </c>
      <c r="J3" s="84" t="s">
        <v>165</v>
      </c>
      <c r="K3" s="84" t="s">
        <v>166</v>
      </c>
      <c r="L3" s="84" t="s">
        <v>159</v>
      </c>
      <c r="M3" s="86">
        <v>100000</v>
      </c>
      <c r="N3" s="84"/>
    </row>
    <row r="4" spans="1:19" x14ac:dyDescent="0.2">
      <c r="A4" s="80">
        <v>45172</v>
      </c>
      <c r="B4" s="81" t="s">
        <v>167</v>
      </c>
      <c r="C4" s="81" t="s">
        <v>168</v>
      </c>
      <c r="D4" s="81">
        <v>5</v>
      </c>
      <c r="E4" s="89">
        <v>12999</v>
      </c>
      <c r="F4" s="81">
        <v>64995</v>
      </c>
      <c r="G4" s="81" t="s">
        <v>169</v>
      </c>
      <c r="H4" s="81" t="s">
        <v>170</v>
      </c>
      <c r="I4" s="81" t="s">
        <v>171</v>
      </c>
      <c r="J4" s="81" t="s">
        <v>172</v>
      </c>
      <c r="K4" s="81" t="s">
        <v>173</v>
      </c>
      <c r="L4" s="81" t="s">
        <v>174</v>
      </c>
      <c r="M4" s="83">
        <v>8000</v>
      </c>
      <c r="N4" s="81"/>
      <c r="R4" t="s">
        <v>320</v>
      </c>
      <c r="S4" t="s">
        <v>321</v>
      </c>
    </row>
    <row r="5" spans="1:19" x14ac:dyDescent="0.2">
      <c r="A5" s="85">
        <v>45174</v>
      </c>
      <c r="B5" s="84" t="s">
        <v>175</v>
      </c>
      <c r="C5" s="84" t="s">
        <v>176</v>
      </c>
      <c r="D5" s="84">
        <v>10</v>
      </c>
      <c r="E5" s="90">
        <v>1599</v>
      </c>
      <c r="F5" s="84">
        <v>15990</v>
      </c>
      <c r="G5" s="84" t="s">
        <v>177</v>
      </c>
      <c r="H5" s="84" t="s">
        <v>178</v>
      </c>
      <c r="I5" s="84" t="s">
        <v>179</v>
      </c>
      <c r="J5" s="84" t="s">
        <v>180</v>
      </c>
      <c r="K5" s="84" t="s">
        <v>158</v>
      </c>
      <c r="L5" s="84" t="s">
        <v>181</v>
      </c>
      <c r="M5" s="86">
        <v>1000</v>
      </c>
      <c r="N5" s="84"/>
    </row>
    <row r="6" spans="1:19" x14ac:dyDescent="0.2">
      <c r="A6" s="80">
        <v>45173</v>
      </c>
      <c r="B6" s="81" t="s">
        <v>175</v>
      </c>
      <c r="C6" s="81" t="s">
        <v>187</v>
      </c>
      <c r="D6" s="81">
        <v>1</v>
      </c>
      <c r="E6" s="89">
        <v>7999</v>
      </c>
      <c r="F6" s="81">
        <v>7999</v>
      </c>
      <c r="G6" s="81" t="s">
        <v>182</v>
      </c>
      <c r="H6" s="81" t="s">
        <v>183</v>
      </c>
      <c r="I6" s="81" t="s">
        <v>184</v>
      </c>
      <c r="J6" s="81" t="s">
        <v>185</v>
      </c>
      <c r="K6" s="81" t="s">
        <v>166</v>
      </c>
      <c r="L6" s="81" t="s">
        <v>186</v>
      </c>
      <c r="M6" s="83">
        <v>5000</v>
      </c>
      <c r="N6" s="81"/>
    </row>
    <row r="7" spans="1:19" x14ac:dyDescent="0.2">
      <c r="A7" s="85">
        <v>45176</v>
      </c>
      <c r="B7" s="84" t="s">
        <v>188</v>
      </c>
      <c r="C7" s="84" t="s">
        <v>189</v>
      </c>
      <c r="D7" s="84">
        <v>4</v>
      </c>
      <c r="E7" s="90">
        <v>45999</v>
      </c>
      <c r="F7" s="84">
        <v>183996</v>
      </c>
      <c r="G7" s="84" t="s">
        <v>190</v>
      </c>
      <c r="H7" s="84" t="s">
        <v>191</v>
      </c>
      <c r="I7" s="84" t="s">
        <v>156</v>
      </c>
      <c r="J7" s="84" t="s">
        <v>165</v>
      </c>
      <c r="K7" s="84" t="s">
        <v>173</v>
      </c>
      <c r="L7" s="84" t="s">
        <v>159</v>
      </c>
      <c r="M7" s="86">
        <v>30000</v>
      </c>
      <c r="N7" s="84"/>
    </row>
    <row r="8" spans="1:19" x14ac:dyDescent="0.2">
      <c r="A8" s="85">
        <v>45177</v>
      </c>
      <c r="B8" s="84" t="s">
        <v>192</v>
      </c>
      <c r="C8" s="84" t="s">
        <v>193</v>
      </c>
      <c r="D8" s="84">
        <v>6</v>
      </c>
      <c r="E8" s="90">
        <v>19999</v>
      </c>
      <c r="F8" s="84">
        <v>119994</v>
      </c>
      <c r="G8" s="84" t="s">
        <v>194</v>
      </c>
      <c r="H8" s="84" t="s">
        <v>195</v>
      </c>
      <c r="I8" s="84" t="s">
        <v>164</v>
      </c>
      <c r="J8" s="84" t="s">
        <v>172</v>
      </c>
      <c r="K8" s="84" t="s">
        <v>166</v>
      </c>
      <c r="L8" s="84" t="s">
        <v>159</v>
      </c>
      <c r="M8" s="82">
        <v>12000</v>
      </c>
      <c r="N8" s="84"/>
    </row>
    <row r="9" spans="1:19" x14ac:dyDescent="0.2">
      <c r="A9" s="85">
        <v>45178</v>
      </c>
      <c r="B9" s="84" t="s">
        <v>196</v>
      </c>
      <c r="C9" s="84" t="s">
        <v>197</v>
      </c>
      <c r="D9" s="84">
        <v>2</v>
      </c>
      <c r="E9" s="90">
        <v>85500</v>
      </c>
      <c r="F9" s="84">
        <v>171000</v>
      </c>
      <c r="G9" s="84" t="s">
        <v>198</v>
      </c>
      <c r="H9" s="84" t="s">
        <v>199</v>
      </c>
      <c r="I9" s="84" t="s">
        <v>179</v>
      </c>
      <c r="J9" s="84" t="s">
        <v>157</v>
      </c>
      <c r="K9" s="84" t="s">
        <v>158</v>
      </c>
      <c r="L9" s="84" t="s">
        <v>200</v>
      </c>
      <c r="M9" s="82">
        <v>50000</v>
      </c>
      <c r="N9" s="84"/>
    </row>
    <row r="10" spans="1:19" x14ac:dyDescent="0.2">
      <c r="A10" s="85">
        <v>45179</v>
      </c>
      <c r="B10" s="84" t="s">
        <v>201</v>
      </c>
      <c r="C10" s="84" t="s">
        <v>202</v>
      </c>
      <c r="D10" s="84">
        <v>5</v>
      </c>
      <c r="E10" s="90">
        <v>9999</v>
      </c>
      <c r="F10" s="84">
        <v>49995</v>
      </c>
      <c r="G10" s="84" t="s">
        <v>203</v>
      </c>
      <c r="H10" s="84" t="s">
        <v>204</v>
      </c>
      <c r="I10" s="84" t="s">
        <v>171</v>
      </c>
      <c r="J10" s="84" t="s">
        <v>180</v>
      </c>
      <c r="K10" s="84" t="s">
        <v>173</v>
      </c>
      <c r="L10" s="84" t="s">
        <v>205</v>
      </c>
      <c r="M10" s="82">
        <v>4000</v>
      </c>
      <c r="N10" s="84"/>
    </row>
    <row r="11" spans="1:19" x14ac:dyDescent="0.2">
      <c r="A11" s="85">
        <v>45180</v>
      </c>
      <c r="B11" s="84" t="s">
        <v>206</v>
      </c>
      <c r="C11" s="84" t="s">
        <v>207</v>
      </c>
      <c r="D11" s="84">
        <v>3</v>
      </c>
      <c r="E11" s="90">
        <v>65999</v>
      </c>
      <c r="F11" s="84">
        <v>197997</v>
      </c>
      <c r="G11" s="84" t="s">
        <v>208</v>
      </c>
      <c r="H11" s="84" t="s">
        <v>209</v>
      </c>
      <c r="I11" s="84" t="s">
        <v>184</v>
      </c>
      <c r="J11" s="84" t="s">
        <v>185</v>
      </c>
      <c r="K11" s="84" t="s">
        <v>166</v>
      </c>
      <c r="L11" s="84" t="s">
        <v>159</v>
      </c>
      <c r="M11" s="82">
        <v>40000</v>
      </c>
      <c r="N11" s="84"/>
    </row>
    <row r="12" spans="1:19" x14ac:dyDescent="0.2">
      <c r="A12" s="85">
        <v>45181</v>
      </c>
      <c r="B12" s="84" t="s">
        <v>210</v>
      </c>
      <c r="C12" s="84" t="s">
        <v>211</v>
      </c>
      <c r="D12" s="84">
        <v>7</v>
      </c>
      <c r="E12" s="90">
        <v>8500</v>
      </c>
      <c r="F12" s="84">
        <v>59500</v>
      </c>
      <c r="G12" s="84" t="s">
        <v>212</v>
      </c>
      <c r="H12" s="84" t="s">
        <v>213</v>
      </c>
      <c r="I12" s="84" t="s">
        <v>156</v>
      </c>
      <c r="J12" s="84" t="s">
        <v>157</v>
      </c>
      <c r="K12" s="84" t="s">
        <v>158</v>
      </c>
      <c r="L12" s="84" t="s">
        <v>205</v>
      </c>
      <c r="M12" s="82">
        <v>3500</v>
      </c>
      <c r="N12" s="84"/>
    </row>
    <row r="13" spans="1:19" x14ac:dyDescent="0.2">
      <c r="A13" s="85">
        <v>45182</v>
      </c>
      <c r="B13" s="84" t="s">
        <v>214</v>
      </c>
      <c r="C13" s="84" t="s">
        <v>215</v>
      </c>
      <c r="D13" s="84">
        <v>2</v>
      </c>
      <c r="E13" s="90">
        <v>22999</v>
      </c>
      <c r="F13" s="84">
        <v>45998</v>
      </c>
      <c r="G13" s="84" t="s">
        <v>216</v>
      </c>
      <c r="H13" s="84" t="s">
        <v>217</v>
      </c>
      <c r="I13" s="84" t="s">
        <v>164</v>
      </c>
      <c r="J13" s="84" t="s">
        <v>165</v>
      </c>
      <c r="K13" s="84" t="s">
        <v>173</v>
      </c>
      <c r="L13" s="84" t="s">
        <v>186</v>
      </c>
      <c r="M13" s="82">
        <v>15000</v>
      </c>
      <c r="N13" s="84"/>
    </row>
    <row r="14" spans="1:19" x14ac:dyDescent="0.2">
      <c r="A14" s="85">
        <v>45183</v>
      </c>
      <c r="B14" s="84" t="s">
        <v>218</v>
      </c>
      <c r="C14" s="84" t="s">
        <v>219</v>
      </c>
      <c r="D14" s="84">
        <v>8</v>
      </c>
      <c r="E14" s="90">
        <v>6999</v>
      </c>
      <c r="F14" s="84">
        <v>55992</v>
      </c>
      <c r="G14" s="84" t="s">
        <v>220</v>
      </c>
      <c r="H14" s="84" t="s">
        <v>221</v>
      </c>
      <c r="I14" s="84" t="s">
        <v>171</v>
      </c>
      <c r="J14" s="84" t="s">
        <v>172</v>
      </c>
      <c r="K14" s="84" t="s">
        <v>166</v>
      </c>
      <c r="L14" s="84" t="s">
        <v>159</v>
      </c>
      <c r="M14" s="82">
        <v>2500</v>
      </c>
      <c r="N14" s="84"/>
    </row>
    <row r="15" spans="1:19" x14ac:dyDescent="0.2">
      <c r="A15" s="85">
        <v>45184</v>
      </c>
      <c r="B15" s="84" t="s">
        <v>222</v>
      </c>
      <c r="C15" s="84" t="s">
        <v>223</v>
      </c>
      <c r="D15" s="84">
        <v>4</v>
      </c>
      <c r="E15" s="90">
        <v>14500</v>
      </c>
      <c r="F15" s="84">
        <v>58000</v>
      </c>
      <c r="G15" s="84" t="s">
        <v>224</v>
      </c>
      <c r="H15" s="84" t="s">
        <v>225</v>
      </c>
      <c r="I15" s="84" t="s">
        <v>179</v>
      </c>
      <c r="J15" s="84" t="s">
        <v>180</v>
      </c>
      <c r="K15" s="84" t="s">
        <v>158</v>
      </c>
      <c r="L15" s="84" t="s">
        <v>174</v>
      </c>
      <c r="M15" s="82">
        <v>7000</v>
      </c>
      <c r="N15" s="84"/>
    </row>
    <row r="16" spans="1:19" x14ac:dyDescent="0.2">
      <c r="A16" s="85">
        <v>45185</v>
      </c>
      <c r="B16" s="84" t="s">
        <v>226</v>
      </c>
      <c r="C16" s="84" t="s">
        <v>227</v>
      </c>
      <c r="D16" s="84">
        <v>1</v>
      </c>
      <c r="E16" s="90">
        <v>54999</v>
      </c>
      <c r="F16" s="84">
        <v>54999</v>
      </c>
      <c r="G16" s="84" t="s">
        <v>228</v>
      </c>
      <c r="H16" s="84" t="s">
        <v>229</v>
      </c>
      <c r="I16" s="84" t="s">
        <v>184</v>
      </c>
      <c r="J16" s="84" t="s">
        <v>185</v>
      </c>
      <c r="K16" s="84" t="s">
        <v>173</v>
      </c>
      <c r="L16" s="84" t="s">
        <v>159</v>
      </c>
      <c r="M16" s="82">
        <v>35000</v>
      </c>
      <c r="N16" s="84"/>
    </row>
    <row r="17" spans="1:21" x14ac:dyDescent="0.2">
      <c r="A17" s="85">
        <v>45186</v>
      </c>
      <c r="B17" s="84" t="s">
        <v>230</v>
      </c>
      <c r="C17" s="84" t="s">
        <v>231</v>
      </c>
      <c r="D17" s="84">
        <v>2</v>
      </c>
      <c r="E17" s="90">
        <v>89500</v>
      </c>
      <c r="F17" s="84">
        <v>179000</v>
      </c>
      <c r="G17" s="84" t="s">
        <v>232</v>
      </c>
      <c r="H17" s="84" t="s">
        <v>233</v>
      </c>
      <c r="I17" s="84" t="s">
        <v>156</v>
      </c>
      <c r="J17" s="84" t="s">
        <v>165</v>
      </c>
      <c r="K17" s="84" t="s">
        <v>166</v>
      </c>
      <c r="L17" s="84" t="s">
        <v>159</v>
      </c>
      <c r="M17" s="82">
        <v>60000</v>
      </c>
      <c r="N17" s="84"/>
    </row>
    <row r="18" spans="1:21" x14ac:dyDescent="0.2">
      <c r="A18" s="85">
        <v>45187</v>
      </c>
      <c r="B18" s="84" t="s">
        <v>234</v>
      </c>
      <c r="C18" s="84" t="s">
        <v>235</v>
      </c>
      <c r="D18" s="84">
        <v>3</v>
      </c>
      <c r="E18" s="90">
        <v>24999</v>
      </c>
      <c r="F18" s="84">
        <v>74997</v>
      </c>
      <c r="G18" s="84" t="s">
        <v>236</v>
      </c>
      <c r="H18" s="84" t="s">
        <v>237</v>
      </c>
      <c r="I18" s="84" t="s">
        <v>164</v>
      </c>
      <c r="J18" s="84" t="s">
        <v>157</v>
      </c>
      <c r="K18" s="84" t="s">
        <v>158</v>
      </c>
      <c r="L18" s="84" t="s">
        <v>159</v>
      </c>
      <c r="M18" s="82">
        <v>15000</v>
      </c>
      <c r="N18" s="84"/>
    </row>
    <row r="19" spans="1:21" x14ac:dyDescent="0.2">
      <c r="A19" s="85">
        <v>45188</v>
      </c>
      <c r="B19" s="84" t="s">
        <v>238</v>
      </c>
      <c r="C19" s="84" t="s">
        <v>239</v>
      </c>
      <c r="D19" s="84">
        <v>1</v>
      </c>
      <c r="E19" s="90">
        <v>120000</v>
      </c>
      <c r="F19" s="84">
        <v>120000</v>
      </c>
      <c r="G19" s="84" t="s">
        <v>240</v>
      </c>
      <c r="H19" s="84" t="s">
        <v>241</v>
      </c>
      <c r="I19" s="84" t="s">
        <v>179</v>
      </c>
      <c r="J19" s="84" t="s">
        <v>172</v>
      </c>
      <c r="K19" s="84" t="s">
        <v>173</v>
      </c>
      <c r="L19" s="84" t="s">
        <v>200</v>
      </c>
      <c r="M19" s="82">
        <v>80000</v>
      </c>
      <c r="N19" s="84"/>
    </row>
    <row r="20" spans="1:21" x14ac:dyDescent="0.2">
      <c r="A20" s="85">
        <v>45189</v>
      </c>
      <c r="B20" s="84" t="s">
        <v>242</v>
      </c>
      <c r="C20" s="84" t="s">
        <v>243</v>
      </c>
      <c r="D20" s="84">
        <v>4</v>
      </c>
      <c r="E20" s="90">
        <v>18999</v>
      </c>
      <c r="F20" s="84">
        <v>75996</v>
      </c>
      <c r="G20" s="84" t="s">
        <v>244</v>
      </c>
      <c r="H20" s="84" t="s">
        <v>245</v>
      </c>
      <c r="I20" s="84" t="s">
        <v>171</v>
      </c>
      <c r="J20" s="84" t="s">
        <v>180</v>
      </c>
      <c r="K20" s="84" t="s">
        <v>158</v>
      </c>
      <c r="L20" s="84" t="s">
        <v>174</v>
      </c>
      <c r="M20" s="82">
        <v>9000</v>
      </c>
      <c r="N20" s="84"/>
    </row>
    <row r="21" spans="1:21" x14ac:dyDescent="0.2">
      <c r="A21" s="85">
        <v>45190</v>
      </c>
      <c r="B21" s="84" t="s">
        <v>246</v>
      </c>
      <c r="C21" s="84" t="s">
        <v>247</v>
      </c>
      <c r="D21" s="84">
        <v>2</v>
      </c>
      <c r="E21" s="90">
        <v>55000</v>
      </c>
      <c r="F21" s="84">
        <v>110000</v>
      </c>
      <c r="G21" s="84" t="s">
        <v>248</v>
      </c>
      <c r="H21" s="84" t="s">
        <v>249</v>
      </c>
      <c r="I21" s="84" t="s">
        <v>184</v>
      </c>
      <c r="J21" s="84" t="s">
        <v>185</v>
      </c>
      <c r="K21" s="84" t="s">
        <v>166</v>
      </c>
      <c r="L21" s="84" t="s">
        <v>186</v>
      </c>
      <c r="M21" s="82">
        <v>35000</v>
      </c>
      <c r="N21" s="84"/>
    </row>
    <row r="22" spans="1:21" x14ac:dyDescent="0.2">
      <c r="A22" s="85">
        <v>45191</v>
      </c>
      <c r="B22" s="84" t="s">
        <v>250</v>
      </c>
      <c r="C22" s="84" t="s">
        <v>251</v>
      </c>
      <c r="D22" s="84">
        <v>5</v>
      </c>
      <c r="E22" s="90">
        <v>12500</v>
      </c>
      <c r="F22" s="84">
        <v>62500</v>
      </c>
      <c r="G22" s="84" t="s">
        <v>252</v>
      </c>
      <c r="H22" s="84" t="s">
        <v>253</v>
      </c>
      <c r="I22" s="84" t="s">
        <v>156</v>
      </c>
      <c r="J22" s="84" t="s">
        <v>165</v>
      </c>
      <c r="K22" s="84" t="s">
        <v>173</v>
      </c>
      <c r="L22" s="84" t="s">
        <v>159</v>
      </c>
      <c r="M22" s="82">
        <v>6000</v>
      </c>
      <c r="N22" s="84"/>
      <c r="U22" t="s">
        <v>322</v>
      </c>
    </row>
    <row r="23" spans="1:21" x14ac:dyDescent="0.2">
      <c r="A23" s="85">
        <v>45192</v>
      </c>
      <c r="B23" s="84" t="s">
        <v>254</v>
      </c>
      <c r="C23" s="84" t="s">
        <v>255</v>
      </c>
      <c r="D23" s="84">
        <v>6</v>
      </c>
      <c r="E23" s="90">
        <v>4999</v>
      </c>
      <c r="F23" s="84">
        <v>29994</v>
      </c>
      <c r="G23" s="84" t="s">
        <v>256</v>
      </c>
      <c r="H23" s="84" t="s">
        <v>257</v>
      </c>
      <c r="I23" s="84" t="s">
        <v>164</v>
      </c>
      <c r="J23" s="84" t="s">
        <v>157</v>
      </c>
      <c r="K23" s="84" t="s">
        <v>158</v>
      </c>
      <c r="L23" s="84" t="s">
        <v>258</v>
      </c>
      <c r="M23" s="82">
        <v>2000</v>
      </c>
      <c r="N23" s="84"/>
    </row>
    <row r="24" spans="1:21" x14ac:dyDescent="0.2">
      <c r="A24" s="85">
        <v>45193</v>
      </c>
      <c r="B24" s="84" t="s">
        <v>259</v>
      </c>
      <c r="C24" s="84" t="s">
        <v>260</v>
      </c>
      <c r="D24" s="84">
        <v>3</v>
      </c>
      <c r="E24" s="90">
        <v>39999</v>
      </c>
      <c r="F24" s="84">
        <v>119997</v>
      </c>
      <c r="G24" s="84" t="s">
        <v>261</v>
      </c>
      <c r="H24" s="84" t="s">
        <v>262</v>
      </c>
      <c r="I24" s="84" t="s">
        <v>179</v>
      </c>
      <c r="J24" s="84" t="s">
        <v>172</v>
      </c>
      <c r="K24" s="84" t="s">
        <v>166</v>
      </c>
      <c r="L24" s="84" t="s">
        <v>159</v>
      </c>
      <c r="M24" s="82">
        <v>25000</v>
      </c>
      <c r="N24" s="84"/>
    </row>
    <row r="25" spans="1:21" x14ac:dyDescent="0.2">
      <c r="A25" s="85">
        <v>45194</v>
      </c>
      <c r="B25" s="84" t="s">
        <v>263</v>
      </c>
      <c r="C25" s="84" t="s">
        <v>264</v>
      </c>
      <c r="D25" s="84">
        <v>1</v>
      </c>
      <c r="E25" s="90">
        <v>95000</v>
      </c>
      <c r="F25" s="84">
        <v>95000</v>
      </c>
      <c r="G25" s="84" t="s">
        <v>265</v>
      </c>
      <c r="H25" s="84" t="s">
        <v>266</v>
      </c>
      <c r="I25" s="84" t="s">
        <v>184</v>
      </c>
      <c r="J25" s="84" t="s">
        <v>180</v>
      </c>
      <c r="K25" s="84" t="s">
        <v>173</v>
      </c>
      <c r="L25" s="84" t="s">
        <v>186</v>
      </c>
      <c r="M25" s="82">
        <v>60000</v>
      </c>
      <c r="N25" s="84"/>
    </row>
    <row r="26" spans="1:21" x14ac:dyDescent="0.2">
      <c r="A26" s="85">
        <v>45195</v>
      </c>
      <c r="B26" s="84" t="s">
        <v>267</v>
      </c>
      <c r="C26" s="84" t="s">
        <v>268</v>
      </c>
      <c r="D26" s="84">
        <v>2</v>
      </c>
      <c r="E26" s="90">
        <v>150000</v>
      </c>
      <c r="F26" s="84">
        <v>300000</v>
      </c>
      <c r="G26" s="84" t="s">
        <v>269</v>
      </c>
      <c r="H26" s="84" t="s">
        <v>270</v>
      </c>
      <c r="I26" s="84" t="s">
        <v>171</v>
      </c>
      <c r="J26" s="84" t="s">
        <v>185</v>
      </c>
      <c r="K26" s="84" t="s">
        <v>158</v>
      </c>
      <c r="L26" s="84" t="s">
        <v>200</v>
      </c>
      <c r="M26" s="82">
        <v>100000</v>
      </c>
      <c r="N26" s="84"/>
    </row>
    <row r="27" spans="1:21" x14ac:dyDescent="0.2">
      <c r="A27" s="85">
        <v>45196</v>
      </c>
      <c r="B27" s="84" t="s">
        <v>271</v>
      </c>
      <c r="C27" s="84" t="s">
        <v>272</v>
      </c>
      <c r="D27" s="84">
        <v>7</v>
      </c>
      <c r="E27" s="90">
        <v>3999</v>
      </c>
      <c r="F27" s="84">
        <v>27993</v>
      </c>
      <c r="G27" s="84" t="s">
        <v>273</v>
      </c>
      <c r="H27" s="84" t="s">
        <v>274</v>
      </c>
      <c r="I27" s="84" t="s">
        <v>156</v>
      </c>
      <c r="J27" s="84" t="s">
        <v>157</v>
      </c>
      <c r="K27" s="84" t="s">
        <v>166</v>
      </c>
      <c r="L27" s="84" t="s">
        <v>205</v>
      </c>
      <c r="M27" s="82">
        <v>1500</v>
      </c>
      <c r="N27" s="84"/>
    </row>
    <row r="28" spans="1:21" x14ac:dyDescent="0.2">
      <c r="A28" s="85">
        <v>45197</v>
      </c>
      <c r="B28" s="84" t="s">
        <v>275</v>
      </c>
      <c r="C28" s="84" t="s">
        <v>276</v>
      </c>
      <c r="D28" s="84">
        <v>1</v>
      </c>
      <c r="E28" s="90">
        <v>450000</v>
      </c>
      <c r="F28" s="84">
        <v>450000</v>
      </c>
      <c r="G28" s="84" t="s">
        <v>277</v>
      </c>
      <c r="H28" s="84" t="s">
        <v>278</v>
      </c>
      <c r="I28" s="84" t="s">
        <v>164</v>
      </c>
      <c r="J28" s="84" t="s">
        <v>172</v>
      </c>
      <c r="K28" s="84" t="s">
        <v>173</v>
      </c>
      <c r="L28" s="84" t="s">
        <v>279</v>
      </c>
      <c r="M28" s="82">
        <v>320000</v>
      </c>
      <c r="N28" s="84"/>
    </row>
    <row r="29" spans="1:21" x14ac:dyDescent="0.2">
      <c r="A29" s="85">
        <v>45198</v>
      </c>
      <c r="B29" s="84" t="s">
        <v>280</v>
      </c>
      <c r="C29" s="84" t="s">
        <v>281</v>
      </c>
      <c r="D29" s="84">
        <v>4</v>
      </c>
      <c r="E29" s="90">
        <v>28500</v>
      </c>
      <c r="F29" s="84">
        <v>114000</v>
      </c>
      <c r="G29" s="84" t="s">
        <v>282</v>
      </c>
      <c r="H29" s="84" t="s">
        <v>283</v>
      </c>
      <c r="I29" s="84" t="s">
        <v>179</v>
      </c>
      <c r="J29" s="84" t="s">
        <v>165</v>
      </c>
      <c r="K29" s="84" t="s">
        <v>158</v>
      </c>
      <c r="L29" s="84" t="s">
        <v>159</v>
      </c>
      <c r="M29" s="82">
        <v>18000</v>
      </c>
      <c r="N29" s="84"/>
    </row>
    <row r="30" spans="1:21" x14ac:dyDescent="0.2">
      <c r="A30" s="85">
        <v>45199</v>
      </c>
      <c r="B30" s="84" t="s">
        <v>284</v>
      </c>
      <c r="C30" s="84" t="s">
        <v>285</v>
      </c>
      <c r="D30" s="84">
        <v>3</v>
      </c>
      <c r="E30" s="90">
        <v>79999</v>
      </c>
      <c r="F30" s="84">
        <v>239997</v>
      </c>
      <c r="G30" s="84" t="s">
        <v>286</v>
      </c>
      <c r="H30" s="84" t="s">
        <v>287</v>
      </c>
      <c r="I30" s="84" t="s">
        <v>171</v>
      </c>
      <c r="J30" s="84" t="s">
        <v>180</v>
      </c>
      <c r="K30" s="84" t="s">
        <v>166</v>
      </c>
      <c r="L30" s="84" t="s">
        <v>159</v>
      </c>
      <c r="M30" s="82">
        <v>50000</v>
      </c>
      <c r="N30" s="84"/>
    </row>
    <row r="31" spans="1:21" x14ac:dyDescent="0.2">
      <c r="A31" s="85">
        <v>45200</v>
      </c>
      <c r="B31" s="84" t="s">
        <v>288</v>
      </c>
      <c r="C31" s="84" t="s">
        <v>289</v>
      </c>
      <c r="D31" s="84">
        <v>2</v>
      </c>
      <c r="E31" s="90">
        <v>34999</v>
      </c>
      <c r="F31" s="84">
        <v>69998</v>
      </c>
      <c r="G31" s="84" t="s">
        <v>290</v>
      </c>
      <c r="H31" s="84" t="s">
        <v>291</v>
      </c>
      <c r="I31" s="84" t="s">
        <v>184</v>
      </c>
      <c r="J31" s="84" t="s">
        <v>185</v>
      </c>
      <c r="K31" s="84" t="s">
        <v>173</v>
      </c>
      <c r="L31" s="84" t="s">
        <v>186</v>
      </c>
      <c r="M31" s="82">
        <v>20000</v>
      </c>
      <c r="N31" s="84"/>
    </row>
    <row r="32" spans="1:21" x14ac:dyDescent="0.2">
      <c r="A32" s="85">
        <v>45201</v>
      </c>
      <c r="B32" s="84" t="s">
        <v>292</v>
      </c>
      <c r="C32" s="84" t="s">
        <v>293</v>
      </c>
      <c r="D32" s="84">
        <v>1</v>
      </c>
      <c r="E32" s="90">
        <v>110000</v>
      </c>
      <c r="F32" s="84">
        <v>110000</v>
      </c>
      <c r="G32" s="84" t="s">
        <v>294</v>
      </c>
      <c r="H32" s="84" t="s">
        <v>295</v>
      </c>
      <c r="I32" s="84" t="s">
        <v>156</v>
      </c>
      <c r="J32" s="84" t="s">
        <v>165</v>
      </c>
      <c r="K32" s="84" t="s">
        <v>158</v>
      </c>
      <c r="L32" s="84" t="s">
        <v>159</v>
      </c>
      <c r="M32" s="82">
        <v>75000</v>
      </c>
      <c r="N32" s="84"/>
    </row>
    <row r="33" spans="1:14" x14ac:dyDescent="0.2">
      <c r="A33" s="85">
        <v>45202</v>
      </c>
      <c r="B33" s="84" t="s">
        <v>296</v>
      </c>
      <c r="C33" s="84" t="s">
        <v>297</v>
      </c>
      <c r="D33" s="84">
        <v>5</v>
      </c>
      <c r="E33" s="90">
        <v>9500</v>
      </c>
      <c r="F33" s="84">
        <v>47500</v>
      </c>
      <c r="G33" s="84" t="s">
        <v>298</v>
      </c>
      <c r="H33" s="84" t="s">
        <v>299</v>
      </c>
      <c r="I33" s="84" t="s">
        <v>164</v>
      </c>
      <c r="J33" s="84" t="s">
        <v>157</v>
      </c>
      <c r="K33" s="84" t="s">
        <v>166</v>
      </c>
      <c r="L33" s="84" t="s">
        <v>159</v>
      </c>
      <c r="M33" s="82">
        <v>4000</v>
      </c>
      <c r="N33" s="84"/>
    </row>
    <row r="34" spans="1:14" x14ac:dyDescent="0.2">
      <c r="A34" s="85">
        <v>45203</v>
      </c>
      <c r="B34" s="84" t="s">
        <v>300</v>
      </c>
      <c r="C34" s="84" t="s">
        <v>301</v>
      </c>
      <c r="D34" s="84">
        <v>6</v>
      </c>
      <c r="E34" s="90">
        <v>16999</v>
      </c>
      <c r="F34" s="84">
        <v>101994</v>
      </c>
      <c r="G34" s="84" t="s">
        <v>302</v>
      </c>
      <c r="H34" s="84" t="s">
        <v>303</v>
      </c>
      <c r="I34" s="84" t="s">
        <v>179</v>
      </c>
      <c r="J34" s="84" t="s">
        <v>172</v>
      </c>
      <c r="K34" s="84" t="s">
        <v>173</v>
      </c>
      <c r="L34" s="84" t="s">
        <v>174</v>
      </c>
      <c r="M34" s="82">
        <v>8000</v>
      </c>
      <c r="N34" s="84"/>
    </row>
    <row r="35" spans="1:14" x14ac:dyDescent="0.2">
      <c r="A35" s="85">
        <v>45204</v>
      </c>
      <c r="B35" s="84" t="s">
        <v>304</v>
      </c>
      <c r="C35" s="84" t="s">
        <v>305</v>
      </c>
      <c r="D35" s="84">
        <v>2</v>
      </c>
      <c r="E35" s="90">
        <v>42000</v>
      </c>
      <c r="F35" s="84">
        <v>84000</v>
      </c>
      <c r="G35" s="84" t="s">
        <v>306</v>
      </c>
      <c r="H35" s="84" t="s">
        <v>307</v>
      </c>
      <c r="I35" s="84" t="s">
        <v>184</v>
      </c>
      <c r="J35" s="84" t="s">
        <v>180</v>
      </c>
      <c r="K35" s="84" t="s">
        <v>158</v>
      </c>
      <c r="L35" s="84" t="s">
        <v>186</v>
      </c>
      <c r="M35" s="82">
        <v>25000</v>
      </c>
      <c r="N35" s="84"/>
    </row>
    <row r="36" spans="1:14" x14ac:dyDescent="0.2">
      <c r="A36" s="85">
        <v>45205</v>
      </c>
      <c r="B36" s="84" t="s">
        <v>308</v>
      </c>
      <c r="C36" s="84" t="s">
        <v>309</v>
      </c>
      <c r="D36" s="84">
        <v>1</v>
      </c>
      <c r="E36" s="90">
        <v>320000</v>
      </c>
      <c r="F36" s="84">
        <v>320000</v>
      </c>
      <c r="G36" s="84" t="s">
        <v>310</v>
      </c>
      <c r="H36" s="84" t="s">
        <v>311</v>
      </c>
      <c r="I36" s="84" t="s">
        <v>171</v>
      </c>
      <c r="J36" s="84" t="s">
        <v>185</v>
      </c>
      <c r="K36" s="84" t="s">
        <v>166</v>
      </c>
      <c r="L36" s="84" t="s">
        <v>159</v>
      </c>
      <c r="M36" s="82">
        <v>250000</v>
      </c>
      <c r="N36" s="84"/>
    </row>
    <row r="37" spans="1:14" x14ac:dyDescent="0.2">
      <c r="A37" s="85">
        <v>45206</v>
      </c>
      <c r="B37" s="84" t="s">
        <v>323</v>
      </c>
      <c r="C37" s="84" t="s">
        <v>324</v>
      </c>
      <c r="D37" s="84">
        <v>3</v>
      </c>
      <c r="E37" s="90">
        <v>150000</v>
      </c>
      <c r="F37" s="84">
        <v>450000</v>
      </c>
      <c r="G37" s="84" t="s">
        <v>325</v>
      </c>
      <c r="H37" s="84" t="s">
        <v>326</v>
      </c>
      <c r="I37" s="84" t="s">
        <v>164</v>
      </c>
      <c r="J37" s="84" t="s">
        <v>165</v>
      </c>
      <c r="K37" s="84" t="s">
        <v>166</v>
      </c>
      <c r="L37" s="84" t="s">
        <v>159</v>
      </c>
      <c r="M37" s="82">
        <v>110000</v>
      </c>
      <c r="N37" s="84"/>
    </row>
    <row r="38" spans="1:14" x14ac:dyDescent="0.2">
      <c r="A38" s="85">
        <v>45207</v>
      </c>
      <c r="B38" s="84" t="s">
        <v>327</v>
      </c>
      <c r="C38" s="84" t="s">
        <v>328</v>
      </c>
      <c r="D38" s="84">
        <v>2</v>
      </c>
      <c r="E38" s="90">
        <v>320000</v>
      </c>
      <c r="F38" s="84">
        <v>640000</v>
      </c>
      <c r="G38" s="84" t="s">
        <v>329</v>
      </c>
      <c r="H38" s="84" t="s">
        <v>330</v>
      </c>
      <c r="I38" s="84" t="s">
        <v>156</v>
      </c>
      <c r="J38" s="84" t="s">
        <v>157</v>
      </c>
      <c r="K38" s="84" t="s">
        <v>158</v>
      </c>
      <c r="L38" s="84" t="s">
        <v>159</v>
      </c>
      <c r="M38" s="82">
        <v>250000</v>
      </c>
      <c r="N38" s="84"/>
    </row>
    <row r="39" spans="1:14" x14ac:dyDescent="0.2">
      <c r="A39" s="85">
        <v>45208</v>
      </c>
      <c r="B39" s="84" t="s">
        <v>331</v>
      </c>
      <c r="C39" s="84" t="s">
        <v>332</v>
      </c>
      <c r="D39" s="84">
        <v>4</v>
      </c>
      <c r="E39" s="90">
        <v>280000</v>
      </c>
      <c r="F39" s="84">
        <v>1120000</v>
      </c>
      <c r="G39" s="84" t="s">
        <v>333</v>
      </c>
      <c r="H39" s="84" t="s">
        <v>334</v>
      </c>
      <c r="I39" s="84" t="s">
        <v>171</v>
      </c>
      <c r="J39" s="84" t="s">
        <v>172</v>
      </c>
      <c r="K39" s="84" t="s">
        <v>173</v>
      </c>
      <c r="L39" s="84" t="s">
        <v>159</v>
      </c>
      <c r="M39" s="82">
        <v>200000</v>
      </c>
      <c r="N39" s="84"/>
    </row>
    <row r="40" spans="1:14" x14ac:dyDescent="0.2">
      <c r="A40" s="85">
        <v>45209</v>
      </c>
      <c r="B40" s="84" t="s">
        <v>335</v>
      </c>
      <c r="C40" s="84" t="s">
        <v>336</v>
      </c>
      <c r="D40" s="84">
        <v>2</v>
      </c>
      <c r="E40" s="90">
        <v>450000</v>
      </c>
      <c r="F40" s="84">
        <v>900000</v>
      </c>
      <c r="G40" s="84" t="s">
        <v>337</v>
      </c>
      <c r="H40" s="84" t="s">
        <v>338</v>
      </c>
      <c r="I40" s="84" t="s">
        <v>179</v>
      </c>
      <c r="J40" s="84" t="s">
        <v>180</v>
      </c>
      <c r="K40" s="84" t="s">
        <v>166</v>
      </c>
      <c r="L40" s="84" t="s">
        <v>186</v>
      </c>
      <c r="M40" s="82">
        <v>320000</v>
      </c>
      <c r="N40" s="84"/>
    </row>
    <row r="41" spans="1:14" x14ac:dyDescent="0.2">
      <c r="A41" s="85">
        <v>45210</v>
      </c>
      <c r="B41" s="84" t="s">
        <v>339</v>
      </c>
      <c r="C41" s="84" t="s">
        <v>340</v>
      </c>
      <c r="D41" s="84">
        <v>3</v>
      </c>
      <c r="E41" s="90">
        <v>390000</v>
      </c>
      <c r="F41" s="84">
        <v>1170000</v>
      </c>
      <c r="G41" s="84" t="s">
        <v>341</v>
      </c>
      <c r="H41" s="84" t="s">
        <v>342</v>
      </c>
      <c r="I41" s="84" t="s">
        <v>184</v>
      </c>
      <c r="J41" s="84" t="s">
        <v>185</v>
      </c>
      <c r="K41" s="84" t="s">
        <v>158</v>
      </c>
      <c r="L41" s="84" t="s">
        <v>159</v>
      </c>
      <c r="M41" s="82">
        <v>300000</v>
      </c>
      <c r="N41" s="84"/>
    </row>
    <row r="42" spans="1:14" x14ac:dyDescent="0.2">
      <c r="A42" s="85">
        <v>45211</v>
      </c>
      <c r="B42" s="84" t="s">
        <v>343</v>
      </c>
      <c r="C42" s="84" t="s">
        <v>344</v>
      </c>
      <c r="D42" s="84">
        <v>2</v>
      </c>
      <c r="E42" s="90">
        <v>520000</v>
      </c>
      <c r="F42" s="84">
        <v>1040000</v>
      </c>
      <c r="G42" s="84" t="s">
        <v>345</v>
      </c>
      <c r="H42" s="84" t="s">
        <v>346</v>
      </c>
      <c r="I42" s="84" t="s">
        <v>156</v>
      </c>
      <c r="J42" s="84" t="s">
        <v>165</v>
      </c>
      <c r="K42" s="84" t="s">
        <v>173</v>
      </c>
      <c r="L42" s="84" t="s">
        <v>186</v>
      </c>
      <c r="M42" s="82">
        <v>380000</v>
      </c>
      <c r="N42" s="84"/>
    </row>
    <row r="43" spans="1:14" x14ac:dyDescent="0.2">
      <c r="A43" s="85">
        <v>45212</v>
      </c>
      <c r="B43" s="84" t="s">
        <v>347</v>
      </c>
      <c r="C43" s="84" t="s">
        <v>348</v>
      </c>
      <c r="D43" s="84">
        <v>5</v>
      </c>
      <c r="E43" s="90">
        <v>180000</v>
      </c>
      <c r="F43" s="84">
        <v>900000</v>
      </c>
      <c r="G43" s="84" t="s">
        <v>349</v>
      </c>
      <c r="H43" s="84" t="s">
        <v>350</v>
      </c>
      <c r="I43" s="84" t="s">
        <v>164</v>
      </c>
      <c r="J43" s="84" t="s">
        <v>157</v>
      </c>
      <c r="K43" s="84" t="s">
        <v>166</v>
      </c>
      <c r="L43" s="84" t="s">
        <v>159</v>
      </c>
      <c r="M43" s="82">
        <v>120000</v>
      </c>
      <c r="N43" s="84"/>
    </row>
    <row r="44" spans="1:14" x14ac:dyDescent="0.2">
      <c r="A44" s="85">
        <v>45213</v>
      </c>
      <c r="B44" s="84" t="s">
        <v>351</v>
      </c>
      <c r="C44" s="84" t="s">
        <v>352</v>
      </c>
      <c r="D44" s="84">
        <v>6</v>
      </c>
      <c r="E44" s="90">
        <v>95000</v>
      </c>
      <c r="F44" s="84">
        <v>570000</v>
      </c>
      <c r="G44" s="84" t="s">
        <v>353</v>
      </c>
      <c r="H44" s="84" t="s">
        <v>354</v>
      </c>
      <c r="I44" s="84" t="s">
        <v>171</v>
      </c>
      <c r="J44" s="84" t="s">
        <v>180</v>
      </c>
      <c r="K44" s="84" t="s">
        <v>158</v>
      </c>
      <c r="L44" s="84" t="s">
        <v>200</v>
      </c>
      <c r="M44" s="82">
        <v>60000</v>
      </c>
      <c r="N44" s="84"/>
    </row>
    <row r="45" spans="1:14" x14ac:dyDescent="0.2">
      <c r="A45" s="85">
        <v>45214</v>
      </c>
      <c r="B45" s="84" t="s">
        <v>355</v>
      </c>
      <c r="C45" s="84" t="s">
        <v>356</v>
      </c>
      <c r="D45" s="84">
        <v>4</v>
      </c>
      <c r="E45" s="90">
        <v>250000</v>
      </c>
      <c r="F45" s="84">
        <v>1000000</v>
      </c>
      <c r="G45" s="84" t="s">
        <v>357</v>
      </c>
      <c r="H45" s="84" t="s">
        <v>358</v>
      </c>
      <c r="I45" s="84" t="s">
        <v>179</v>
      </c>
      <c r="J45" s="84" t="s">
        <v>172</v>
      </c>
      <c r="K45" s="84" t="s">
        <v>173</v>
      </c>
      <c r="L45" s="84" t="s">
        <v>159</v>
      </c>
      <c r="M45" s="82">
        <v>180000</v>
      </c>
      <c r="N45" s="84"/>
    </row>
    <row r="46" spans="1:14" x14ac:dyDescent="0.2">
      <c r="A46" s="85">
        <v>45215</v>
      </c>
      <c r="B46" s="84" t="s">
        <v>359</v>
      </c>
      <c r="C46" s="84" t="s">
        <v>360</v>
      </c>
      <c r="D46" s="84">
        <v>2</v>
      </c>
      <c r="E46" s="90">
        <v>600000</v>
      </c>
      <c r="F46" s="84">
        <v>1200000</v>
      </c>
      <c r="G46" s="84" t="s">
        <v>361</v>
      </c>
      <c r="H46" s="84" t="s">
        <v>362</v>
      </c>
      <c r="I46" s="84" t="s">
        <v>184</v>
      </c>
      <c r="J46" s="84" t="s">
        <v>185</v>
      </c>
      <c r="K46" s="84" t="s">
        <v>166</v>
      </c>
      <c r="L46" s="84" t="s">
        <v>186</v>
      </c>
      <c r="M46" s="82">
        <v>450000</v>
      </c>
      <c r="N46" s="84"/>
    </row>
    <row r="47" spans="1:14" x14ac:dyDescent="0.2">
      <c r="A47" s="85">
        <v>45216</v>
      </c>
      <c r="B47" s="84" t="s">
        <v>363</v>
      </c>
      <c r="C47" s="84" t="s">
        <v>364</v>
      </c>
      <c r="D47" s="84">
        <v>1</v>
      </c>
      <c r="E47" s="90">
        <v>1500000</v>
      </c>
      <c r="F47" s="84">
        <v>1500000</v>
      </c>
      <c r="G47" s="84" t="s">
        <v>365</v>
      </c>
      <c r="H47" s="84" t="s">
        <v>366</v>
      </c>
      <c r="I47" s="84" t="s">
        <v>156</v>
      </c>
      <c r="J47" s="84" t="s">
        <v>165</v>
      </c>
      <c r="K47" s="84" t="s">
        <v>158</v>
      </c>
      <c r="L47" s="84" t="s">
        <v>159</v>
      </c>
      <c r="M47" s="82">
        <v>1200000</v>
      </c>
      <c r="N47" s="84"/>
    </row>
    <row r="48" spans="1:14" x14ac:dyDescent="0.2">
      <c r="A48" s="85">
        <v>45217</v>
      </c>
      <c r="B48" s="84" t="s">
        <v>367</v>
      </c>
      <c r="C48" s="84" t="s">
        <v>368</v>
      </c>
      <c r="D48" s="84">
        <v>2</v>
      </c>
      <c r="E48" s="90">
        <v>980000</v>
      </c>
      <c r="F48" s="84">
        <v>1960000</v>
      </c>
      <c r="G48" s="84" t="s">
        <v>369</v>
      </c>
      <c r="H48" s="84" t="s">
        <v>370</v>
      </c>
      <c r="I48" s="84" t="s">
        <v>164</v>
      </c>
      <c r="J48" s="84" t="s">
        <v>157</v>
      </c>
      <c r="K48" s="84" t="s">
        <v>173</v>
      </c>
      <c r="L48" s="84" t="s">
        <v>159</v>
      </c>
      <c r="M48" s="82">
        <v>800000</v>
      </c>
      <c r="N48" s="84"/>
    </row>
    <row r="49" spans="1:14" x14ac:dyDescent="0.2">
      <c r="A49" s="85">
        <v>45218</v>
      </c>
      <c r="B49" s="84" t="s">
        <v>371</v>
      </c>
      <c r="C49" s="84" t="s">
        <v>372</v>
      </c>
      <c r="D49" s="84">
        <v>3</v>
      </c>
      <c r="E49" s="90">
        <v>420000</v>
      </c>
      <c r="F49" s="84">
        <v>1260000</v>
      </c>
      <c r="G49" s="84" t="s">
        <v>373</v>
      </c>
      <c r="H49" s="84" t="s">
        <v>374</v>
      </c>
      <c r="I49" s="84" t="s">
        <v>171</v>
      </c>
      <c r="J49" s="84" t="s">
        <v>180</v>
      </c>
      <c r="K49" s="84" t="s">
        <v>166</v>
      </c>
      <c r="L49" s="84" t="s">
        <v>159</v>
      </c>
      <c r="M49" s="82">
        <v>300000</v>
      </c>
      <c r="N49" s="84"/>
    </row>
    <row r="50" spans="1:14" x14ac:dyDescent="0.2">
      <c r="A50" s="85">
        <v>45219</v>
      </c>
      <c r="B50" s="84" t="s">
        <v>375</v>
      </c>
      <c r="C50" s="84" t="s">
        <v>376</v>
      </c>
      <c r="D50" s="84">
        <v>2</v>
      </c>
      <c r="E50" s="90">
        <v>750000</v>
      </c>
      <c r="F50" s="84">
        <v>1500000</v>
      </c>
      <c r="G50" s="84" t="s">
        <v>377</v>
      </c>
      <c r="H50" s="84" t="s">
        <v>378</v>
      </c>
      <c r="I50" s="84" t="s">
        <v>179</v>
      </c>
      <c r="J50" s="84" t="s">
        <v>172</v>
      </c>
      <c r="K50" s="84" t="s">
        <v>158</v>
      </c>
      <c r="L50" s="84" t="s">
        <v>279</v>
      </c>
      <c r="M50" s="82">
        <v>520000</v>
      </c>
      <c r="N50" s="84"/>
    </row>
    <row r="51" spans="1:14" x14ac:dyDescent="0.2">
      <c r="A51" s="85">
        <v>45220</v>
      </c>
      <c r="B51" s="84" t="s">
        <v>379</v>
      </c>
      <c r="C51" s="84" t="s">
        <v>380</v>
      </c>
      <c r="D51" s="84">
        <v>4</v>
      </c>
      <c r="E51" s="90">
        <v>210000</v>
      </c>
      <c r="F51" s="84">
        <v>840000</v>
      </c>
      <c r="G51" s="84" t="s">
        <v>381</v>
      </c>
      <c r="H51" s="84" t="s">
        <v>382</v>
      </c>
      <c r="I51" s="84" t="s">
        <v>184</v>
      </c>
      <c r="J51" s="84" t="s">
        <v>185</v>
      </c>
      <c r="K51" s="84" t="s">
        <v>173</v>
      </c>
      <c r="L51" s="84" t="s">
        <v>159</v>
      </c>
      <c r="M51" s="82">
        <v>150000</v>
      </c>
      <c r="N51" s="84"/>
    </row>
    <row r="52" spans="1:14" x14ac:dyDescent="0.2">
      <c r="A52" s="85">
        <v>45221</v>
      </c>
      <c r="B52" s="84" t="s">
        <v>383</v>
      </c>
      <c r="C52" s="84" t="s">
        <v>384</v>
      </c>
      <c r="D52" s="84">
        <v>1</v>
      </c>
      <c r="E52" s="90">
        <v>890000</v>
      </c>
      <c r="F52" s="84">
        <v>890000</v>
      </c>
      <c r="G52" s="84" t="s">
        <v>385</v>
      </c>
      <c r="H52" s="84" t="s">
        <v>386</v>
      </c>
      <c r="I52" s="84" t="s">
        <v>156</v>
      </c>
      <c r="J52" s="84" t="s">
        <v>165</v>
      </c>
      <c r="K52" s="84" t="s">
        <v>166</v>
      </c>
      <c r="L52" s="84" t="s">
        <v>186</v>
      </c>
      <c r="M52" s="82">
        <v>650000</v>
      </c>
      <c r="N52" s="84"/>
    </row>
    <row r="53" spans="1:14" x14ac:dyDescent="0.2">
      <c r="A53" s="85">
        <v>45222</v>
      </c>
      <c r="B53" s="84" t="s">
        <v>387</v>
      </c>
      <c r="C53" s="84" t="s">
        <v>388</v>
      </c>
      <c r="D53" s="84">
        <v>2</v>
      </c>
      <c r="E53" s="90">
        <v>670000</v>
      </c>
      <c r="F53" s="84">
        <v>1340000</v>
      </c>
      <c r="G53" s="84" t="s">
        <v>389</v>
      </c>
      <c r="H53" s="84" t="s">
        <v>390</v>
      </c>
      <c r="I53" s="84" t="s">
        <v>164</v>
      </c>
      <c r="J53" s="84" t="s">
        <v>157</v>
      </c>
      <c r="K53" s="84" t="s">
        <v>158</v>
      </c>
      <c r="L53" s="84" t="s">
        <v>391</v>
      </c>
      <c r="M53" s="82">
        <v>500000</v>
      </c>
      <c r="N53" s="84"/>
    </row>
    <row r="54" spans="1:14" x14ac:dyDescent="0.2">
      <c r="A54" s="85">
        <v>45223</v>
      </c>
      <c r="B54" s="84" t="s">
        <v>392</v>
      </c>
      <c r="C54" s="84" t="s">
        <v>393</v>
      </c>
      <c r="D54" s="84">
        <v>3</v>
      </c>
      <c r="E54" s="90">
        <v>350000</v>
      </c>
      <c r="F54" s="84">
        <v>1050000</v>
      </c>
      <c r="G54" s="84" t="s">
        <v>394</v>
      </c>
      <c r="H54" s="84" t="s">
        <v>395</v>
      </c>
      <c r="I54" s="84" t="s">
        <v>171</v>
      </c>
      <c r="J54" s="84" t="s">
        <v>180</v>
      </c>
      <c r="K54" s="84" t="s">
        <v>173</v>
      </c>
      <c r="L54" s="84" t="s">
        <v>159</v>
      </c>
      <c r="M54" s="82">
        <v>250000</v>
      </c>
      <c r="N54" s="84"/>
    </row>
    <row r="55" spans="1:14" x14ac:dyDescent="0.2">
      <c r="A55" s="85">
        <v>45224</v>
      </c>
      <c r="B55" s="84" t="s">
        <v>396</v>
      </c>
      <c r="C55" s="84" t="s">
        <v>397</v>
      </c>
      <c r="D55" s="84">
        <v>2</v>
      </c>
      <c r="E55" s="90">
        <v>1200000</v>
      </c>
      <c r="F55" s="84">
        <v>2400000</v>
      </c>
      <c r="G55" s="84" t="s">
        <v>398</v>
      </c>
      <c r="H55" s="84" t="s">
        <v>399</v>
      </c>
      <c r="I55" s="84" t="s">
        <v>179</v>
      </c>
      <c r="J55" s="84" t="s">
        <v>172</v>
      </c>
      <c r="K55" s="84" t="s">
        <v>166</v>
      </c>
      <c r="L55" s="84" t="s">
        <v>159</v>
      </c>
      <c r="M55" s="82">
        <v>900000</v>
      </c>
      <c r="N55" s="84"/>
    </row>
    <row r="56" spans="1:14" x14ac:dyDescent="0.2">
      <c r="A56" s="85">
        <v>45225</v>
      </c>
      <c r="B56" s="84" t="s">
        <v>400</v>
      </c>
      <c r="C56" s="84" t="s">
        <v>401</v>
      </c>
      <c r="D56" s="84">
        <v>3</v>
      </c>
      <c r="E56" s="90">
        <v>410000</v>
      </c>
      <c r="F56" s="84">
        <v>1230000</v>
      </c>
      <c r="G56" s="84" t="s">
        <v>402</v>
      </c>
      <c r="H56" s="84" t="s">
        <v>403</v>
      </c>
      <c r="I56" s="84" t="s">
        <v>184</v>
      </c>
      <c r="J56" s="84" t="s">
        <v>185</v>
      </c>
      <c r="K56" s="84" t="s">
        <v>158</v>
      </c>
      <c r="L56" s="84" t="s">
        <v>159</v>
      </c>
      <c r="M56" s="82">
        <v>320000</v>
      </c>
      <c r="N56" s="84"/>
    </row>
    <row r="57" spans="1:14" x14ac:dyDescent="0.2">
      <c r="A57" s="85"/>
      <c r="B57" s="84"/>
      <c r="C57" s="84"/>
      <c r="D57" s="84"/>
      <c r="E57" s="90"/>
      <c r="F57" s="84"/>
      <c r="G57" s="84"/>
      <c r="H57" s="84"/>
      <c r="I57" s="84"/>
      <c r="J57" s="84"/>
      <c r="K57" s="84"/>
      <c r="L57" s="84"/>
      <c r="N57" s="84"/>
    </row>
    <row r="60" spans="1:14" x14ac:dyDescent="0.2">
      <c r="A60" s="92" t="s">
        <v>148</v>
      </c>
      <c r="B60" s="92" t="s">
        <v>142</v>
      </c>
      <c r="C60" t="s">
        <v>313</v>
      </c>
      <c r="E60" s="92" t="s">
        <v>414</v>
      </c>
      <c r="F60" t="s">
        <v>313</v>
      </c>
      <c r="H60" s="92" t="s">
        <v>412</v>
      </c>
      <c r="I60" t="s">
        <v>313</v>
      </c>
      <c r="M60" s="93" t="s">
        <v>415</v>
      </c>
    </row>
    <row r="61" spans="1:14" x14ac:dyDescent="0.2">
      <c r="A61" t="s">
        <v>179</v>
      </c>
      <c r="B61" t="s">
        <v>196</v>
      </c>
      <c r="C61">
        <v>171000</v>
      </c>
      <c r="E61" s="93" t="s">
        <v>157</v>
      </c>
      <c r="F61">
        <v>5520981</v>
      </c>
      <c r="H61" s="93" t="s">
        <v>449</v>
      </c>
      <c r="I61">
        <v>21810977</v>
      </c>
      <c r="M61" s="93" t="s">
        <v>416</v>
      </c>
    </row>
    <row r="62" spans="1:14" x14ac:dyDescent="0.2">
      <c r="B62" t="s">
        <v>238</v>
      </c>
      <c r="C62">
        <v>120000</v>
      </c>
      <c r="E62" s="94" t="s">
        <v>157</v>
      </c>
      <c r="F62">
        <v>5520981</v>
      </c>
      <c r="H62" s="93" t="s">
        <v>411</v>
      </c>
      <c r="I62">
        <v>5338964</v>
      </c>
      <c r="M62" s="93" t="s">
        <v>417</v>
      </c>
    </row>
    <row r="63" spans="1:14" x14ac:dyDescent="0.2">
      <c r="B63" t="s">
        <v>259</v>
      </c>
      <c r="C63">
        <v>119997</v>
      </c>
      <c r="E63" s="93" t="s">
        <v>419</v>
      </c>
      <c r="F63">
        <v>5500993</v>
      </c>
      <c r="H63" s="93" t="s">
        <v>450</v>
      </c>
      <c r="I63">
        <v>159475</v>
      </c>
    </row>
    <row r="64" spans="1:14" x14ac:dyDescent="0.2">
      <c r="B64" t="s">
        <v>280</v>
      </c>
      <c r="C64">
        <v>114000</v>
      </c>
      <c r="E64" s="94" t="s">
        <v>185</v>
      </c>
      <c r="F64">
        <v>5500993</v>
      </c>
      <c r="H64" s="93" t="s">
        <v>314</v>
      </c>
      <c r="I64">
        <v>27309416</v>
      </c>
    </row>
    <row r="65" spans="1:6" x14ac:dyDescent="0.2">
      <c r="B65" t="s">
        <v>300</v>
      </c>
      <c r="C65">
        <v>101994</v>
      </c>
      <c r="E65" s="93" t="s">
        <v>418</v>
      </c>
      <c r="F65">
        <v>16287442</v>
      </c>
    </row>
    <row r="66" spans="1:6" x14ac:dyDescent="0.2">
      <c r="B66" t="s">
        <v>222</v>
      </c>
      <c r="C66">
        <v>58000</v>
      </c>
      <c r="E66" s="94" t="s">
        <v>165</v>
      </c>
      <c r="F66">
        <v>4835492</v>
      </c>
    </row>
    <row r="67" spans="1:6" x14ac:dyDescent="0.2">
      <c r="B67" t="s">
        <v>175</v>
      </c>
      <c r="C67">
        <v>15990</v>
      </c>
      <c r="E67" s="94" t="s">
        <v>180</v>
      </c>
      <c r="F67">
        <v>4398978</v>
      </c>
    </row>
    <row r="68" spans="1:6" x14ac:dyDescent="0.2">
      <c r="A68" t="s">
        <v>315</v>
      </c>
      <c r="C68">
        <v>700981</v>
      </c>
      <c r="E68" s="94" t="s">
        <v>172</v>
      </c>
      <c r="F68">
        <v>7052972</v>
      </c>
    </row>
    <row r="69" spans="1:6" x14ac:dyDescent="0.2">
      <c r="A69" t="s">
        <v>171</v>
      </c>
      <c r="B69" t="s">
        <v>308</v>
      </c>
      <c r="C69">
        <v>320000</v>
      </c>
      <c r="E69" s="93" t="s">
        <v>314</v>
      </c>
      <c r="F69">
        <v>27309416</v>
      </c>
    </row>
    <row r="70" spans="1:6" x14ac:dyDescent="0.2">
      <c r="B70" t="s">
        <v>267</v>
      </c>
      <c r="C70">
        <v>300000</v>
      </c>
      <c r="E70"/>
    </row>
    <row r="71" spans="1:6" x14ac:dyDescent="0.2">
      <c r="B71" t="s">
        <v>284</v>
      </c>
      <c r="C71">
        <v>239997</v>
      </c>
      <c r="E71"/>
    </row>
    <row r="72" spans="1:6" x14ac:dyDescent="0.2">
      <c r="B72" t="s">
        <v>242</v>
      </c>
      <c r="C72">
        <v>75996</v>
      </c>
      <c r="E72"/>
    </row>
    <row r="73" spans="1:6" x14ac:dyDescent="0.2">
      <c r="B73" t="s">
        <v>167</v>
      </c>
      <c r="C73">
        <v>64995</v>
      </c>
      <c r="E73"/>
    </row>
    <row r="74" spans="1:6" x14ac:dyDescent="0.2">
      <c r="B74" t="s">
        <v>218</v>
      </c>
      <c r="C74">
        <v>55992</v>
      </c>
      <c r="E74"/>
    </row>
    <row r="75" spans="1:6" x14ac:dyDescent="0.2">
      <c r="B75" t="s">
        <v>201</v>
      </c>
      <c r="C75">
        <v>49995</v>
      </c>
      <c r="E75"/>
    </row>
    <row r="76" spans="1:6" x14ac:dyDescent="0.2">
      <c r="A76" t="s">
        <v>316</v>
      </c>
      <c r="C76">
        <v>1106975</v>
      </c>
      <c r="E76"/>
    </row>
    <row r="77" spans="1:6" x14ac:dyDescent="0.2">
      <c r="A77" t="s">
        <v>164</v>
      </c>
      <c r="B77" t="s">
        <v>275</v>
      </c>
      <c r="C77">
        <v>450000</v>
      </c>
      <c r="E77"/>
    </row>
    <row r="78" spans="1:6" x14ac:dyDescent="0.2">
      <c r="B78" t="s">
        <v>160</v>
      </c>
      <c r="C78">
        <v>259998</v>
      </c>
    </row>
    <row r="79" spans="1:6" x14ac:dyDescent="0.2">
      <c r="B79" t="s">
        <v>192</v>
      </c>
      <c r="C79">
        <v>119994</v>
      </c>
    </row>
    <row r="80" spans="1:6" x14ac:dyDescent="0.2">
      <c r="B80" t="s">
        <v>234</v>
      </c>
      <c r="C80">
        <v>74997</v>
      </c>
    </row>
    <row r="81" spans="1:6" x14ac:dyDescent="0.2">
      <c r="B81" t="s">
        <v>296</v>
      </c>
      <c r="C81">
        <v>47500</v>
      </c>
      <c r="E81"/>
    </row>
    <row r="82" spans="1:6" x14ac:dyDescent="0.2">
      <c r="B82" t="s">
        <v>214</v>
      </c>
      <c r="C82">
        <v>45998</v>
      </c>
      <c r="E82"/>
    </row>
    <row r="83" spans="1:6" x14ac:dyDescent="0.2">
      <c r="B83" t="s">
        <v>254</v>
      </c>
      <c r="C83">
        <v>29994</v>
      </c>
      <c r="E83"/>
    </row>
    <row r="84" spans="1:6" x14ac:dyDescent="0.2">
      <c r="A84" t="s">
        <v>317</v>
      </c>
      <c r="C84">
        <v>1028481</v>
      </c>
      <c r="E84"/>
    </row>
    <row r="85" spans="1:6" x14ac:dyDescent="0.2">
      <c r="A85" t="s">
        <v>184</v>
      </c>
      <c r="B85" t="s">
        <v>206</v>
      </c>
      <c r="C85">
        <v>197997</v>
      </c>
      <c r="E85"/>
    </row>
    <row r="86" spans="1:6" x14ac:dyDescent="0.2">
      <c r="B86" t="s">
        <v>246</v>
      </c>
      <c r="C86">
        <v>110000</v>
      </c>
      <c r="E86"/>
    </row>
    <row r="87" spans="1:6" x14ac:dyDescent="0.2">
      <c r="B87" t="s">
        <v>263</v>
      </c>
      <c r="C87">
        <v>95000</v>
      </c>
      <c r="E87" s="92" t="s">
        <v>420</v>
      </c>
      <c r="F87" t="s">
        <v>313</v>
      </c>
    </row>
    <row r="88" spans="1:6" x14ac:dyDescent="0.2">
      <c r="B88" t="s">
        <v>304</v>
      </c>
      <c r="C88">
        <v>84000</v>
      </c>
      <c r="E88" s="93" t="s">
        <v>179</v>
      </c>
      <c r="F88">
        <v>6500981</v>
      </c>
    </row>
    <row r="89" spans="1:6" x14ac:dyDescent="0.2">
      <c r="B89" t="s">
        <v>288</v>
      </c>
      <c r="C89">
        <v>69998</v>
      </c>
      <c r="E89" s="93" t="s">
        <v>171</v>
      </c>
      <c r="F89">
        <v>5106975</v>
      </c>
    </row>
    <row r="90" spans="1:6" x14ac:dyDescent="0.2">
      <c r="B90" t="s">
        <v>226</v>
      </c>
      <c r="C90">
        <v>54999</v>
      </c>
      <c r="E90" s="93" t="s">
        <v>164</v>
      </c>
      <c r="F90">
        <v>5678481</v>
      </c>
    </row>
    <row r="91" spans="1:6" x14ac:dyDescent="0.2">
      <c r="B91" t="s">
        <v>175</v>
      </c>
      <c r="C91">
        <v>7999</v>
      </c>
      <c r="E91" s="93" t="s">
        <v>184</v>
      </c>
      <c r="F91">
        <v>5059993</v>
      </c>
    </row>
    <row r="92" spans="1:6" x14ac:dyDescent="0.2">
      <c r="A92" t="s">
        <v>318</v>
      </c>
      <c r="C92">
        <v>619993</v>
      </c>
      <c r="E92" s="93" t="s">
        <v>156</v>
      </c>
      <c r="F92">
        <v>4962986</v>
      </c>
    </row>
    <row r="93" spans="1:6" x14ac:dyDescent="0.2">
      <c r="A93" t="s">
        <v>156</v>
      </c>
      <c r="B93" t="s">
        <v>152</v>
      </c>
      <c r="C93">
        <v>269997</v>
      </c>
      <c r="E93" s="93" t="s">
        <v>314</v>
      </c>
      <c r="F93">
        <v>27309416</v>
      </c>
    </row>
    <row r="94" spans="1:6" x14ac:dyDescent="0.2">
      <c r="B94" t="s">
        <v>188</v>
      </c>
      <c r="C94">
        <v>183996</v>
      </c>
      <c r="E94"/>
    </row>
    <row r="95" spans="1:6" x14ac:dyDescent="0.2">
      <c r="B95" t="s">
        <v>230</v>
      </c>
      <c r="C95">
        <v>179000</v>
      </c>
      <c r="E95"/>
    </row>
    <row r="96" spans="1:6" x14ac:dyDescent="0.2">
      <c r="B96" t="s">
        <v>292</v>
      </c>
      <c r="C96">
        <v>110000</v>
      </c>
      <c r="E96"/>
    </row>
    <row r="97" spans="1:5" x14ac:dyDescent="0.2">
      <c r="B97" t="s">
        <v>250</v>
      </c>
      <c r="C97">
        <v>62500</v>
      </c>
      <c r="E97"/>
    </row>
    <row r="98" spans="1:5" x14ac:dyDescent="0.2">
      <c r="B98" t="s">
        <v>210</v>
      </c>
      <c r="C98">
        <v>59500</v>
      </c>
      <c r="E98"/>
    </row>
    <row r="99" spans="1:5" x14ac:dyDescent="0.2">
      <c r="B99" t="s">
        <v>271</v>
      </c>
      <c r="C99">
        <v>27993</v>
      </c>
      <c r="E99"/>
    </row>
    <row r="100" spans="1:5" x14ac:dyDescent="0.2">
      <c r="A100" t="s">
        <v>319</v>
      </c>
      <c r="C100">
        <v>892986</v>
      </c>
      <c r="E100"/>
    </row>
    <row r="101" spans="1:5" x14ac:dyDescent="0.2">
      <c r="A101" t="s">
        <v>314</v>
      </c>
      <c r="C101">
        <v>4349416</v>
      </c>
      <c r="E101"/>
    </row>
    <row r="102" spans="1:5" x14ac:dyDescent="0.2">
      <c r="E102"/>
    </row>
    <row r="103" spans="1:5" x14ac:dyDescent="0.2">
      <c r="E103"/>
    </row>
    <row r="104" spans="1:5" x14ac:dyDescent="0.2">
      <c r="E104"/>
    </row>
  </sheetData>
  <conditionalFormatting sqref="F1:F56">
    <cfRule type="iconSet" priority="1">
      <iconSet>
        <cfvo type="percent" val="0"/>
        <cfvo type="percent" val="33"/>
        <cfvo type="percent" val="67"/>
      </iconSet>
    </cfRule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5"/>
  <tableParts count="1">
    <tablePart r:id="rId6"/>
  </tableParts>
  <extLst>
    <ext xmlns:x14="http://schemas.microsoft.com/office/spreadsheetml/2009/9/main" uri="{A8765BA9-456A-4dab-B4F3-ACF838C121DE}">
      <x14:slicerList>
        <x14:slicer r:id="rId7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8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972F-F389-3648-AF89-6DABD5207AF0}">
  <sheetPr codeName="Sheet14"/>
  <dimension ref="A1"/>
  <sheetViews>
    <sheetView workbookViewId="0">
      <selection activeCell="C6" sqref="C6"/>
    </sheetView>
  </sheetViews>
  <sheetFormatPr baseColWidth="10" defaultRowHeight="16" x14ac:dyDescent="0.2"/>
  <cols>
    <col min="1" max="16384" width="10.83203125" style="9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9900-C135-9B4E-BA89-E18668F2465F}">
  <sheetPr codeName="Sheet15"/>
  <dimension ref="A2:C11"/>
  <sheetViews>
    <sheetView workbookViewId="0">
      <selection activeCell="E10" sqref="E10"/>
    </sheetView>
  </sheetViews>
  <sheetFormatPr baseColWidth="10" defaultRowHeight="16" x14ac:dyDescent="0.2"/>
  <cols>
    <col min="1" max="1" width="19.5" bestFit="1" customWidth="1"/>
    <col min="2" max="2" width="16.6640625" bestFit="1" customWidth="1"/>
    <col min="3" max="3" width="19.83203125" bestFit="1" customWidth="1"/>
  </cols>
  <sheetData>
    <row r="2" spans="1:3" x14ac:dyDescent="0.2">
      <c r="A2" t="s">
        <v>121</v>
      </c>
      <c r="B2" t="s">
        <v>408</v>
      </c>
      <c r="C2" t="s">
        <v>409</v>
      </c>
    </row>
    <row r="3" spans="1:3" x14ac:dyDescent="0.2">
      <c r="A3" t="s">
        <v>77</v>
      </c>
      <c r="B3">
        <v>17</v>
      </c>
      <c r="C3">
        <v>1234</v>
      </c>
    </row>
    <row r="4" spans="1:3" x14ac:dyDescent="0.2">
      <c r="A4" t="s">
        <v>77</v>
      </c>
      <c r="B4">
        <v>17</v>
      </c>
      <c r="C4">
        <v>10</v>
      </c>
    </row>
    <row r="5" spans="1:3" x14ac:dyDescent="0.2">
      <c r="A5" t="s">
        <v>404</v>
      </c>
      <c r="B5">
        <v>20</v>
      </c>
      <c r="C5">
        <v>1121</v>
      </c>
    </row>
    <row r="6" spans="1:3" x14ac:dyDescent="0.2">
      <c r="A6" t="s">
        <v>405</v>
      </c>
      <c r="B6">
        <v>28</v>
      </c>
      <c r="C6">
        <v>85</v>
      </c>
    </row>
    <row r="7" spans="1:3" x14ac:dyDescent="0.2">
      <c r="A7" t="s">
        <v>406</v>
      </c>
      <c r="B7">
        <v>31</v>
      </c>
      <c r="C7">
        <v>540</v>
      </c>
    </row>
    <row r="8" spans="1:3" x14ac:dyDescent="0.2">
      <c r="A8" t="s">
        <v>407</v>
      </c>
      <c r="B8">
        <v>35</v>
      </c>
      <c r="C8">
        <v>902</v>
      </c>
    </row>
    <row r="9" spans="1:3" x14ac:dyDescent="0.2">
      <c r="A9" t="s">
        <v>79</v>
      </c>
      <c r="B9">
        <v>25</v>
      </c>
      <c r="C9">
        <v>677</v>
      </c>
    </row>
    <row r="11" spans="1:3" x14ac:dyDescent="0.2">
      <c r="A11" t="s">
        <v>410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9E45-A85F-A34F-BC51-4970FF895F84}">
  <sheetPr codeName="Sheet16"/>
  <dimension ref="A1:G16"/>
  <sheetViews>
    <sheetView topLeftCell="D2" zoomScaleNormal="100" workbookViewId="0">
      <selection activeCell="G10" sqref="G10"/>
    </sheetView>
  </sheetViews>
  <sheetFormatPr baseColWidth="10" defaultRowHeight="16" x14ac:dyDescent="0.2"/>
  <cols>
    <col min="1" max="1" width="11.33203125" customWidth="1"/>
    <col min="6" max="6" width="32.83203125" customWidth="1"/>
    <col min="7" max="7" width="15" customWidth="1"/>
  </cols>
  <sheetData>
    <row r="1" spans="1:7" x14ac:dyDescent="0.2">
      <c r="A1" s="98" t="s">
        <v>421</v>
      </c>
      <c r="B1" s="98" t="s">
        <v>422</v>
      </c>
      <c r="C1" s="98" t="s">
        <v>423</v>
      </c>
      <c r="F1" t="s">
        <v>430</v>
      </c>
      <c r="G1" t="s">
        <v>431</v>
      </c>
    </row>
    <row r="2" spans="1:7" x14ac:dyDescent="0.2">
      <c r="A2" s="97" t="s">
        <v>424</v>
      </c>
      <c r="B2" s="97" t="s">
        <v>429</v>
      </c>
      <c r="C2" s="97">
        <v>12</v>
      </c>
      <c r="E2" t="s">
        <v>435</v>
      </c>
      <c r="F2" t="s">
        <v>440</v>
      </c>
      <c r="G2">
        <f>COUNTIF(ProductosStock[[Color ]],F2)</f>
        <v>1</v>
      </c>
    </row>
    <row r="3" spans="1:7" x14ac:dyDescent="0.2">
      <c r="A3" s="97" t="s">
        <v>425</v>
      </c>
      <c r="B3" s="97" t="s">
        <v>79</v>
      </c>
      <c r="C3" s="97">
        <v>44</v>
      </c>
      <c r="E3" t="s">
        <v>436</v>
      </c>
      <c r="F3">
        <v>40</v>
      </c>
      <c r="G3">
        <f>COUNTIF('CONTAR.SI.CONJUNTO Y CONCATENAR'!$A$1:$C$8,"&gt;="&amp;F3)</f>
        <v>1</v>
      </c>
    </row>
    <row r="4" spans="1:7" x14ac:dyDescent="0.2">
      <c r="A4" s="97" t="s">
        <v>438</v>
      </c>
      <c r="B4" s="97" t="s">
        <v>429</v>
      </c>
      <c r="C4" s="97">
        <v>12</v>
      </c>
      <c r="E4" t="s">
        <v>437</v>
      </c>
      <c r="F4" t="s">
        <v>439</v>
      </c>
      <c r="G4">
        <f>COUNTIF('CONTAR.SI.CONJUNTO Y CONCATENAR'!$A$1:$C$8,"*"&amp;F4&amp;"*")</f>
        <v>1</v>
      </c>
    </row>
    <row r="5" spans="1:7" x14ac:dyDescent="0.2">
      <c r="A5" s="97" t="s">
        <v>426</v>
      </c>
      <c r="B5" s="97" t="s">
        <v>441</v>
      </c>
      <c r="C5" s="97">
        <v>23</v>
      </c>
      <c r="E5" t="s">
        <v>433</v>
      </c>
      <c r="F5" t="s">
        <v>434</v>
      </c>
      <c r="G5" t="s">
        <v>432</v>
      </c>
    </row>
    <row r="6" spans="1:7" x14ac:dyDescent="0.2">
      <c r="A6" s="97" t="s">
        <v>427</v>
      </c>
      <c r="B6" s="97" t="s">
        <v>428</v>
      </c>
      <c r="C6" s="97">
        <v>12</v>
      </c>
      <c r="E6" t="s">
        <v>438</v>
      </c>
      <c r="F6" t="s">
        <v>79</v>
      </c>
      <c r="G6">
        <f>COUNTIFS(ProductosStock[[#All],[Producto ]], E6, ProductosStock[[#All],[Color ]], F6)</f>
        <v>1</v>
      </c>
    </row>
    <row r="7" spans="1:7" x14ac:dyDescent="0.2">
      <c r="A7" s="97" t="s">
        <v>424</v>
      </c>
      <c r="B7" s="97" t="s">
        <v>440</v>
      </c>
      <c r="C7" s="97">
        <v>11</v>
      </c>
    </row>
    <row r="8" spans="1:7" x14ac:dyDescent="0.2">
      <c r="A8" s="97" t="s">
        <v>438</v>
      </c>
      <c r="B8" s="97" t="s">
        <v>79</v>
      </c>
      <c r="C8" s="97">
        <v>10</v>
      </c>
      <c r="E8" s="96" t="s">
        <v>421</v>
      </c>
      <c r="F8" s="5" t="s">
        <v>443</v>
      </c>
      <c r="G8">
        <f>COUNTIF(ProductosStock[[#All],[Producto ]],"*"&amp;F8)</f>
        <v>1</v>
      </c>
    </row>
    <row r="9" spans="1:7" x14ac:dyDescent="0.2">
      <c r="E9" s="96" t="s">
        <v>421</v>
      </c>
      <c r="F9" s="5" t="s">
        <v>442</v>
      </c>
      <c r="G9">
        <f>COUNTIF(ProductosStock[[#All],[Producto ]],F9&amp;"*")</f>
        <v>1</v>
      </c>
    </row>
    <row r="10" spans="1:7" x14ac:dyDescent="0.2">
      <c r="E10" s="96" t="s">
        <v>421</v>
      </c>
      <c r="F10" t="s">
        <v>444</v>
      </c>
      <c r="G10">
        <f>COUNTIFS(ProductosStock[[#All],[Producto ]],F11&amp;"*",ProductosStock[[#All],[Color ]],"*"&amp;F12,ProductosStock[[#All],[Stock ]],"&gt;"&amp;F13)</f>
        <v>1</v>
      </c>
    </row>
    <row r="11" spans="1:7" x14ac:dyDescent="0.2">
      <c r="F11" t="s">
        <v>445</v>
      </c>
    </row>
    <row r="12" spans="1:7" x14ac:dyDescent="0.2">
      <c r="F12" t="s">
        <v>446</v>
      </c>
    </row>
    <row r="13" spans="1:7" x14ac:dyDescent="0.2">
      <c r="F13">
        <v>5</v>
      </c>
    </row>
    <row r="14" spans="1:7" x14ac:dyDescent="0.2">
      <c r="A14" t="s">
        <v>447</v>
      </c>
    </row>
    <row r="15" spans="1:7" x14ac:dyDescent="0.2">
      <c r="B15" s="99" t="s">
        <v>448</v>
      </c>
    </row>
    <row r="16" spans="1:7" x14ac:dyDescent="0.2">
      <c r="A16" t="str">
        <f>_xlfn.CONCAT("Tengo ",C2," unidades de ",A2,"de color ",B2)</f>
        <v>Tengo 12 unidades de Vaquero de color Azul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1114-32A7-2E45-BD24-64D9134B3394}">
  <sheetPr codeName="Sheet17"/>
  <dimension ref="A1:M9"/>
  <sheetViews>
    <sheetView workbookViewId="0">
      <selection activeCell="F20" sqref="F20"/>
    </sheetView>
  </sheetViews>
  <sheetFormatPr baseColWidth="10" defaultRowHeight="16" x14ac:dyDescent="0.2"/>
  <cols>
    <col min="1" max="2" width="18.6640625" customWidth="1"/>
    <col min="3" max="3" width="13.83203125" customWidth="1"/>
    <col min="5" max="5" width="15.5" bestFit="1" customWidth="1"/>
    <col min="6" max="6" width="11.6640625" bestFit="1" customWidth="1"/>
    <col min="8" max="8" width="15.1640625" customWidth="1"/>
    <col min="9" max="9" width="11" customWidth="1"/>
    <col min="10" max="10" width="11.1640625" customWidth="1"/>
    <col min="12" max="12" width="11.1640625" customWidth="1"/>
    <col min="13" max="13" width="13.33203125" customWidth="1"/>
  </cols>
  <sheetData>
    <row r="1" spans="1:13" x14ac:dyDescent="0.2">
      <c r="A1" t="s">
        <v>451</v>
      </c>
      <c r="B1" t="s">
        <v>452</v>
      </c>
      <c r="C1" t="s">
        <v>453</v>
      </c>
      <c r="E1" t="s">
        <v>454</v>
      </c>
      <c r="F1" t="s">
        <v>455</v>
      </c>
      <c r="H1" t="s">
        <v>458</v>
      </c>
      <c r="I1" t="s">
        <v>459</v>
      </c>
      <c r="J1" t="s">
        <v>463</v>
      </c>
      <c r="L1" t="s">
        <v>463</v>
      </c>
      <c r="M1" t="s">
        <v>90</v>
      </c>
    </row>
    <row r="2" spans="1:13" x14ac:dyDescent="0.2">
      <c r="A2">
        <v>1001</v>
      </c>
      <c r="B2">
        <v>256</v>
      </c>
      <c r="C2">
        <v>250</v>
      </c>
      <c r="E2">
        <v>1001</v>
      </c>
      <c r="F2" t="s">
        <v>425</v>
      </c>
      <c r="H2">
        <v>256</v>
      </c>
      <c r="I2" t="s">
        <v>460</v>
      </c>
      <c r="J2">
        <v>10</v>
      </c>
      <c r="L2">
        <v>10</v>
      </c>
      <c r="M2" t="s">
        <v>464</v>
      </c>
    </row>
    <row r="3" spans="1:13" x14ac:dyDescent="0.2">
      <c r="A3">
        <v>1002</v>
      </c>
      <c r="B3">
        <v>257</v>
      </c>
      <c r="C3">
        <v>324</v>
      </c>
      <c r="E3">
        <v>1002</v>
      </c>
      <c r="F3" t="s">
        <v>456</v>
      </c>
      <c r="H3">
        <v>257</v>
      </c>
      <c r="I3" t="s">
        <v>461</v>
      </c>
      <c r="J3">
        <v>11</v>
      </c>
      <c r="L3">
        <v>11</v>
      </c>
      <c r="M3" t="s">
        <v>156</v>
      </c>
    </row>
    <row r="4" spans="1:13" x14ac:dyDescent="0.2">
      <c r="A4">
        <v>1003</v>
      </c>
      <c r="B4">
        <v>258</v>
      </c>
      <c r="C4">
        <v>233</v>
      </c>
      <c r="E4">
        <v>1003</v>
      </c>
      <c r="F4" t="s">
        <v>457</v>
      </c>
      <c r="H4">
        <v>258</v>
      </c>
      <c r="I4" t="s">
        <v>462</v>
      </c>
      <c r="J4">
        <v>12</v>
      </c>
      <c r="L4">
        <v>12</v>
      </c>
      <c r="M4" t="s">
        <v>171</v>
      </c>
    </row>
    <row r="6" spans="1:13" x14ac:dyDescent="0.2">
      <c r="A6" t="s">
        <v>465</v>
      </c>
    </row>
    <row r="7" spans="1:13" x14ac:dyDescent="0.2">
      <c r="A7" t="s">
        <v>466</v>
      </c>
    </row>
    <row r="8" spans="1:13" x14ac:dyDescent="0.2">
      <c r="A8" t="s">
        <v>467</v>
      </c>
    </row>
    <row r="9" spans="1:13" x14ac:dyDescent="0.2">
      <c r="A9" t="s">
        <v>468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Tabla de Multiplicación</vt:lpstr>
      <vt:lpstr>Outliers</vt:lpstr>
      <vt:lpstr>Outliers Z - Score</vt:lpstr>
      <vt:lpstr>CONTAR.SI ASTERISCO </vt:lpstr>
      <vt:lpstr>Validación de Datos</vt:lpstr>
      <vt:lpstr>BLANCOS</vt:lpstr>
      <vt:lpstr>ENCONTRAR ERRORES</vt:lpstr>
      <vt:lpstr>SI</vt:lpstr>
      <vt:lpstr>Y</vt:lpstr>
      <vt:lpstr>Anillos</vt:lpstr>
      <vt:lpstr>Encuestas</vt:lpstr>
      <vt:lpstr>BUSCAR V H</vt:lpstr>
      <vt:lpstr>Tabla de ventas</vt:lpstr>
      <vt:lpstr>Tablero</vt:lpstr>
      <vt:lpstr>Duplicados de tablas</vt:lpstr>
      <vt:lpstr>CONTAR.SI.CONJUNTO Y CONCATENAR</vt:lpstr>
      <vt:lpstr>DATA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de Zabala Zeppenfeldt</dc:creator>
  <cp:lastModifiedBy>Adrian Bartolome</cp:lastModifiedBy>
  <dcterms:created xsi:type="dcterms:W3CDTF">2026-01-22T06:55:00Z</dcterms:created>
  <dcterms:modified xsi:type="dcterms:W3CDTF">2026-05-11T16:40:11Z</dcterms:modified>
</cp:coreProperties>
</file>