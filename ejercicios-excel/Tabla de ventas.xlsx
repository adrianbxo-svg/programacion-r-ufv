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mc:AlternateContent xmlns:mc="http://schemas.openxmlformats.org/markup-compatibility/2006">
    <mc:Choice Requires="x15">
      <x15ac:absPath xmlns:x15ac="http://schemas.microsoft.com/office/spreadsheetml/2010/11/ac" url="/Users/adrianbartolome/Desktop/x/ufv/adn + ibm/herramientas tecnológicas para el análisis de datos y de negocios/excel/"/>
    </mc:Choice>
  </mc:AlternateContent>
  <xr:revisionPtr revIDLastSave="0" documentId="13_ncr:1_{5FBEF434-B657-D34A-B5C3-666E764F94F9}" xr6:coauthVersionLast="47" xr6:coauthVersionMax="47" xr10:uidLastSave="{00000000-0000-0000-0000-000000000000}"/>
  <bookViews>
    <workbookView xWindow="3880" yWindow="3160" windowWidth="27240" windowHeight="16180" xr2:uid="{21DCDE39-4E74-AC45-8660-AF8503B765B7}"/>
  </bookViews>
  <sheets>
    <sheet name="Tabla de ventas" sheetId="1" r:id="rId1"/>
  </sheets>
  <definedNames>
    <definedName name="SegmentaciónDeDatos_Cantidad_vendida">#N/A</definedName>
    <definedName name="SegmentaciónDeDatos_Categoria_del_producto">#N/A</definedName>
    <definedName name="SegmentaciónDeDatos_Metodo_de_pago">#N/A</definedName>
    <definedName name="SegmentaciónDeDatos_Metodo_de_pago2">#N/A</definedName>
    <definedName name="SegmentaciónDeDatos_Region_o_ubicación">#N/A</definedName>
    <definedName name="SegmentaciónDeDatos_Region_o_ubicación1">#N/A</definedName>
    <definedName name="SegmentaciónDeDatos_Total_de_venta">#N/A</definedName>
  </definedNames>
  <calcPr calcId="181029"/>
  <pivotCaches>
    <pivotCache cacheId="0" r:id="rId2"/>
    <pivotCache cacheId="1" r:id="rId3"/>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<sst xmlns="http://schemas.openxmlformats.org/spreadsheetml/2006/main" count="534" uniqueCount="276">
  <si>
    <t>Fecha de venta</t>
  </si>
  <si>
    <t xml:space="preserve">ID  del producto </t>
  </si>
  <si>
    <t>Nombre del producto</t>
  </si>
  <si>
    <t>Cantidad vendida</t>
  </si>
  <si>
    <t>Precio unitario</t>
  </si>
  <si>
    <t>Total de venta</t>
  </si>
  <si>
    <t>ID del cliente</t>
  </si>
  <si>
    <t>Nombre del cliente</t>
  </si>
  <si>
    <t>Region o ubicación</t>
  </si>
  <si>
    <t>Metodo de pago</t>
  </si>
  <si>
    <t>Vendedor</t>
  </si>
  <si>
    <t>Categoria del producto</t>
  </si>
  <si>
    <t>Costo del producto</t>
  </si>
  <si>
    <t>Margen de beneficio</t>
  </si>
  <si>
    <t>PROD002</t>
  </si>
  <si>
    <t>Smartphone samsung Galaxy</t>
  </si>
  <si>
    <t>CLI002</t>
  </si>
  <si>
    <t>Maria Garcia</t>
  </si>
  <si>
    <t>Sur</t>
  </si>
  <si>
    <t>Efectivo</t>
  </si>
  <si>
    <t>VEND002</t>
  </si>
  <si>
    <t>Electronicos</t>
  </si>
  <si>
    <t>PROD001</t>
  </si>
  <si>
    <t>Laptop Dell XPS</t>
  </si>
  <si>
    <t>CLI001</t>
  </si>
  <si>
    <t>Juan Perez</t>
  </si>
  <si>
    <t>Norte</t>
  </si>
  <si>
    <t>Tarjeta de credito</t>
  </si>
  <si>
    <t>VEND001</t>
  </si>
  <si>
    <t>PROD003</t>
  </si>
  <si>
    <t>Zapatilla Nike Air Max</t>
  </si>
  <si>
    <t>CLI003</t>
  </si>
  <si>
    <t>Carlos Rodriguez</t>
  </si>
  <si>
    <t>Este</t>
  </si>
  <si>
    <t>Transferencia Bancaria</t>
  </si>
  <si>
    <t>VEND003</t>
  </si>
  <si>
    <t>Ropa y calzado</t>
  </si>
  <si>
    <t>Insertar</t>
  </si>
  <si>
    <t>Segmentacion</t>
  </si>
  <si>
    <t>PROD005</t>
  </si>
  <si>
    <t>Libro "Cien anños de soledad</t>
  </si>
  <si>
    <t>CLI005</t>
  </si>
  <si>
    <t>Pedro Sanchez</t>
  </si>
  <si>
    <t>Centro</t>
  </si>
  <si>
    <t>Tarjeta de debito</t>
  </si>
  <si>
    <t>Libros</t>
  </si>
  <si>
    <t>Licuadora oster</t>
  </si>
  <si>
    <t>CLI004</t>
  </si>
  <si>
    <t>Ana Martinez</t>
  </si>
  <si>
    <t>Oeste</t>
  </si>
  <si>
    <t>Paypal</t>
  </si>
  <si>
    <t>Electrodomesticos</t>
  </si>
  <si>
    <t>PROD006</t>
  </si>
  <si>
    <t>Tablet Samsung Galaxy Tab</t>
  </si>
  <si>
    <t>CLI006</t>
  </si>
  <si>
    <t>Luis Fernandez</t>
  </si>
  <si>
    <t>PROD007</t>
  </si>
  <si>
    <t>Audifonos Sony WH-1000XM4</t>
  </si>
  <si>
    <t>CLI007</t>
  </si>
  <si>
    <t>Camila Torres</t>
  </si>
  <si>
    <t>PROD008</t>
  </si>
  <si>
    <t>Silla ergonomica oficina</t>
  </si>
  <si>
    <t>CLI008</t>
  </si>
  <si>
    <t>Jorge Ramirez</t>
  </si>
  <si>
    <t>Muebles</t>
  </si>
  <si>
    <t>PROD009</t>
  </si>
  <si>
    <t>Mouse Logitech MX Master</t>
  </si>
  <si>
    <t>CLI009</t>
  </si>
  <si>
    <t>Andrea Lopez</t>
  </si>
  <si>
    <t>Accesorios</t>
  </si>
  <si>
    <t>PROD010</t>
  </si>
  <si>
    <t>Monitor LG 27 pulgadas</t>
  </si>
  <si>
    <t>CLI010</t>
  </si>
  <si>
    <t>Diego Morales</t>
  </si>
  <si>
    <t>PROD011</t>
  </si>
  <si>
    <t>Teclado mecanico Redragon</t>
  </si>
  <si>
    <t>CLI011</t>
  </si>
  <si>
    <t>Sofia Herrera</t>
  </si>
  <si>
    <t>PROD012</t>
  </si>
  <si>
    <t>Cafetera Oster 12 tazas</t>
  </si>
  <si>
    <t>CLI012</t>
  </si>
  <si>
    <t>Miguel Castro</t>
  </si>
  <si>
    <t>PROD013</t>
  </si>
  <si>
    <t>Smartwatch Xiaomi Band 8</t>
  </si>
  <si>
    <t>CLI013</t>
  </si>
  <si>
    <t>Valeria Rojas</t>
  </si>
  <si>
    <t>PROD014</t>
  </si>
  <si>
    <t>Mochila escolar Adidas</t>
  </si>
  <si>
    <t>CLI014</t>
  </si>
  <si>
    <t>Ricardo Vega</t>
  </si>
  <si>
    <t>PROD015</t>
  </si>
  <si>
    <t>Impresora HP DeskJet</t>
  </si>
  <si>
    <t>CLI015</t>
  </si>
  <si>
    <t>Elena Navarro</t>
  </si>
  <si>
    <t>PROD016</t>
  </si>
  <si>
    <t>Camara Canon EOS M50</t>
  </si>
  <si>
    <t>CLI016</t>
  </si>
  <si>
    <t>Pablo Gutierrez</t>
  </si>
  <si>
    <t>PROD017</t>
  </si>
  <si>
    <t>Altavoz JBL Charge 5</t>
  </si>
  <si>
    <t>CLI017</t>
  </si>
  <si>
    <t>Laura Medina</t>
  </si>
  <si>
    <t>PROD018</t>
  </si>
  <si>
    <t>Mesa de escritorio madera</t>
  </si>
  <si>
    <t>CLI018</t>
  </si>
  <si>
    <t>Raul Paredes</t>
  </si>
  <si>
    <t>PROD019</t>
  </si>
  <si>
    <t>Zapatillas Adidas Runfalcon</t>
  </si>
  <si>
    <t>CLI019</t>
  </si>
  <si>
    <t>Daniela Soto</t>
  </si>
  <si>
    <t>PROD020</t>
  </si>
  <si>
    <t>Horno microondas Samsung</t>
  </si>
  <si>
    <t>CLI020</t>
  </si>
  <si>
    <t>Cesar Vargas</t>
  </si>
  <si>
    <t>PROD021</t>
  </si>
  <si>
    <t>Disco duro externo 1TB</t>
  </si>
  <si>
    <t>CLI021</t>
  </si>
  <si>
    <t>Mariana Ruiz</t>
  </si>
  <si>
    <t xml:space="preserve">Click derechoTamaño y propiedades </t>
  </si>
  <si>
    <t>PROD022</t>
  </si>
  <si>
    <t>Lampara LED escritorio</t>
  </si>
  <si>
    <t>CLI022</t>
  </si>
  <si>
    <t>Julio Campos</t>
  </si>
  <si>
    <t>Iluminacion</t>
  </si>
  <si>
    <t>PROD023</t>
  </si>
  <si>
    <t>Tablet Lenovo Tab M10</t>
  </si>
  <si>
    <t>CLI023</t>
  </si>
  <si>
    <t>Paola Rios</t>
  </si>
  <si>
    <t>PROD024</t>
  </si>
  <si>
    <t>Aspiradora Philips PowerPro</t>
  </si>
  <si>
    <t>CLI024</t>
  </si>
  <si>
    <t>Fernando Luna</t>
  </si>
  <si>
    <t>PROD025</t>
  </si>
  <si>
    <t>Silla gamer Cougar</t>
  </si>
  <si>
    <t>CLI025</t>
  </si>
  <si>
    <t>Kevin Salazar</t>
  </si>
  <si>
    <t>PROD026</t>
  </si>
  <si>
    <t>Reloj Casio digital</t>
  </si>
  <si>
    <t>CLI026</t>
  </si>
  <si>
    <t>Natalia Vega</t>
  </si>
  <si>
    <t>PROD027</t>
  </si>
  <si>
    <t>Bicicleta urbana Trek</t>
  </si>
  <si>
    <t>CLI027</t>
  </si>
  <si>
    <t>Andres Molina</t>
  </si>
  <si>
    <t>Deportes</t>
  </si>
  <si>
    <t>PROD028</t>
  </si>
  <si>
    <t>Router TP-Link AX3000</t>
  </si>
  <si>
    <t>CLI028</t>
  </si>
  <si>
    <t>Gabriela Peña</t>
  </si>
  <si>
    <t>PROD029</t>
  </si>
  <si>
    <t>Celular Xiaomi Redmi Note</t>
  </si>
  <si>
    <t>CLI029</t>
  </si>
  <si>
    <t>Hector Fuentes</t>
  </si>
  <si>
    <t>PROD030</t>
  </si>
  <si>
    <t>Batidora Oster 6 velocidades</t>
  </si>
  <si>
    <t>CLI030</t>
  </si>
  <si>
    <t>Lucia Cabrera</t>
  </si>
  <si>
    <t>PROD031</t>
  </si>
  <si>
    <t>Impresora Epson EcoTank</t>
  </si>
  <si>
    <t>CLI031</t>
  </si>
  <si>
    <t>Martin Rojas</t>
  </si>
  <si>
    <t>PROD032</t>
  </si>
  <si>
    <t>Auriculares Bluetooth JBL</t>
  </si>
  <si>
    <t>CLI032</t>
  </si>
  <si>
    <t>Carla Navarro</t>
  </si>
  <si>
    <t>PROD033</t>
  </si>
  <si>
    <t>Mochila Nike deportiva</t>
  </si>
  <si>
    <t>CLI033</t>
  </si>
  <si>
    <t>Sergio Acosta</t>
  </si>
  <si>
    <t>PROD034</t>
  </si>
  <si>
    <t>Ventilador Torre Taurus</t>
  </si>
  <si>
    <t>CLI034</t>
  </si>
  <si>
    <t>Ana Beltran</t>
  </si>
  <si>
    <t>PROD035</t>
  </si>
  <si>
    <t>Smart TV LG 50 pulgadas</t>
  </si>
  <si>
    <t>CLI035</t>
  </si>
  <si>
    <t>David Herrera</t>
  </si>
  <si>
    <t>PROD036</t>
  </si>
  <si>
    <t>Laptop HP Pavilion</t>
  </si>
  <si>
    <t>CLI036</t>
  </si>
  <si>
    <t>Alberto Cruz</t>
  </si>
  <si>
    <t>PROD037</t>
  </si>
  <si>
    <t>iPhone 14</t>
  </si>
  <si>
    <t>CLI037</t>
  </si>
  <si>
    <t>Monica Reyes</t>
  </si>
  <si>
    <t>PROD038</t>
  </si>
  <si>
    <t>Smart TV Samsung 55"</t>
  </si>
  <si>
    <t>CLI038</t>
  </si>
  <si>
    <t>Javier Molina</t>
  </si>
  <si>
    <t>PROD039</t>
  </si>
  <si>
    <t>Refrigeradora LG</t>
  </si>
  <si>
    <t>CLI039</t>
  </si>
  <si>
    <t>Patricia Gomez</t>
  </si>
  <si>
    <t>PROD040</t>
  </si>
  <si>
    <t>PlayStation 5</t>
  </si>
  <si>
    <t>CLI040</t>
  </si>
  <si>
    <t>Carlos Vega</t>
  </si>
  <si>
    <t>PROD041</t>
  </si>
  <si>
    <t>Lavadora Samsung 18kg</t>
  </si>
  <si>
    <t>CLI041</t>
  </si>
  <si>
    <t>Luisa Herrera</t>
  </si>
  <si>
    <t>PROD042</t>
  </si>
  <si>
    <t>Monitor Gamer ASUS 27"</t>
  </si>
  <si>
    <t>CLI042</t>
  </si>
  <si>
    <t>Rodrigo Salas</t>
  </si>
  <si>
    <t>PROD043</t>
  </si>
  <si>
    <t>Silla Gamer Pro</t>
  </si>
  <si>
    <t>CLI043</t>
  </si>
  <si>
    <t>Diana Castro</t>
  </si>
  <si>
    <t>PROD044</t>
  </si>
  <si>
    <t>Tableta iPad Air</t>
  </si>
  <si>
    <t>CLI044</t>
  </si>
  <si>
    <t>Felipe Torres</t>
  </si>
  <si>
    <t>PROD045</t>
  </si>
  <si>
    <t>Aire Acondicionado LG</t>
  </si>
  <si>
    <t>CLI045</t>
  </si>
  <si>
    <t>Maria Lopez</t>
  </si>
  <si>
    <t>PROD046</t>
  </si>
  <si>
    <t>PC Gamer RTX</t>
  </si>
  <si>
    <t>CLI046</t>
  </si>
  <si>
    <t>Andres Rios</t>
  </si>
  <si>
    <t>PROD047</t>
  </si>
  <si>
    <t>MacBook Pro 14"</t>
  </si>
  <si>
    <t>CLI047</t>
  </si>
  <si>
    <t>Sofia Martinez</t>
  </si>
  <si>
    <t>PROD048</t>
  </si>
  <si>
    <t>Camara Sony Alpha</t>
  </si>
  <si>
    <t>CLI048</t>
  </si>
  <si>
    <t>Jose Ramirez</t>
  </si>
  <si>
    <t>PROD049</t>
  </si>
  <si>
    <t>Bicicleta Electrica</t>
  </si>
  <si>
    <t>CLI049</t>
  </si>
  <si>
    <t>Camila Duarte</t>
  </si>
  <si>
    <t>PROD050</t>
  </si>
  <si>
    <t>Proyector Epson HD</t>
  </si>
  <si>
    <t>CLI050</t>
  </si>
  <si>
    <t>Diego Navarro</t>
  </si>
  <si>
    <t>PROD051</t>
  </si>
  <si>
    <t>Horno Industrial</t>
  </si>
  <si>
    <t>CLI051</t>
  </si>
  <si>
    <t>Raul Mendoza</t>
  </si>
  <si>
    <t>PROD052</t>
  </si>
  <si>
    <t>Servidor NAS Synology</t>
  </si>
  <si>
    <t>CLI052</t>
  </si>
  <si>
    <t>Gabriel Ponce</t>
  </si>
  <si>
    <t>Tecnologia</t>
  </si>
  <si>
    <t>PROD053</t>
  </si>
  <si>
    <t>Drone DJI Mini 3</t>
  </si>
  <si>
    <t>CLI053</t>
  </si>
  <si>
    <t>Valeria Ruiz</t>
  </si>
  <si>
    <t>PROD054</t>
  </si>
  <si>
    <t>Smart TV OLED LG 65"</t>
  </si>
  <si>
    <t>CLI054</t>
  </si>
  <si>
    <t>Hector Silva</t>
  </si>
  <si>
    <t>PROD055</t>
  </si>
  <si>
    <t>Consola Xbox Series X</t>
  </si>
  <si>
    <t>CLI055</t>
  </si>
  <si>
    <t>Elena Torres</t>
  </si>
  <si>
    <t>Suma de Total de venta</t>
  </si>
  <si>
    <t>Métodos de Pago</t>
  </si>
  <si>
    <t>Cantidad Vendida</t>
  </si>
  <si>
    <t>Elegir valores</t>
  </si>
  <si>
    <t>1-3</t>
  </si>
  <si>
    <t>Click derecho - Agrupar</t>
  </si>
  <si>
    <t>4-6</t>
  </si>
  <si>
    <t>Segmentación de Datos</t>
  </si>
  <si>
    <t>Pago por internet</t>
  </si>
  <si>
    <t>7-10</t>
  </si>
  <si>
    <t>Total general</t>
  </si>
  <si>
    <t>Pagos bancarios</t>
  </si>
  <si>
    <t>Total Centro</t>
  </si>
  <si>
    <t>Total Este</t>
  </si>
  <si>
    <t>Total Norte</t>
  </si>
  <si>
    <t>Ubicación</t>
  </si>
  <si>
    <t>Total Oeste</t>
  </si>
  <si>
    <t>Total 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</si>
</sst>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 * #,##0.00_-;\-[$€-2]\ * #,##0.00_-;_-[$€-2]\ * &quot;-&quot;??_-;_-@_-"/>
    <numFmt numFmtId="165" formatCode="#,##0.00\ &quot;€&quot;;[Red]\-#,##0.00\ &quot;€&quot;"/>
    <numFmt numFmtId="166" formatCode="d/m/yy"/>
  </numFmts>
  <fonts count="3" x14ac:knownFonts="1">
    <font>
      <sz val="12"/>
      <color theme="1"/>
      <name val="Trebuchet MS"/>
      <family val="2"/>
      <scheme val="minor"/>
    </font>
    <font>
      <b/>
      <sz val="11"/>
      <color theme="0"/>
      <name val="Trebuchet MS"/>
      <family val="2"/>
      <scheme val="minor"/>
    </font>
    <font>
      <sz val="11"/>
      <color rgb="FF104861"/>
      <name val="Trebuchet MS"/>
      <family val="2"/>
      <scheme val="minor"/>
    </font>
  </fonts>
  <fills count="3">
    <fill>
      <patternFill patternType="none"/>
    </fill>
    <fill>
      <patternFill patternType="gray125"/>
    </fill>
    <fill>
      <patternFill patternType="solid">
        <fgColor rgb="FFC0E6F5"/>
        <bgColor rgb="FFC0E6F5"/>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64" fontId="1" fillId="0" borderId="0" xfId="0" applyNumberFormat="1" applyFont="1"/>
    <xf numFmtId="14" fontId="2" fillId="2" borderId="0" xfId="0" applyNumberFormat="1" applyFont="1" applyFill="1"/>
    <xf numFmtId="0" fontId="2" fillId="2" borderId="0" xfId="0" applyFont="1" applyFill="1"/>
    <xf numFmtId="164" fontId="2" fillId="2" borderId="0" xfId="0" applyNumberFormat="1" applyFont="1" applyFill="1"/>
    <xf numFmtId="165" fontId="2" fillId="2" borderId="0" xfId="0" applyNumberFormat="1" applyFont="1" applyFill="1"/>
    <xf numFmtId="14" fontId="2" fillId="0" borderId="0" xfId="0" applyNumberFormat="1" applyFont="1"/>
    <xf numFmtId="0" fontId="2" fillId="0" borderId="0" xfId="0" applyFont="1"/>
    <xf numFmtId="164" fontId="2" fillId="0" borderId="0" xfId="0" applyNumberFormat="1" applyFont="1"/>
    <xf numFmtId="165" fontId="2" fillId="0" borderId="0" xfId="0" applyNumberFormat="1" applyFont="1"/>
    <xf numFmtId="165" fontId="0" fillId="0" borderId="0" xfId="0" applyNumberFormat="1"/>
    <xf numFmtId="0" fontId="0" fillId="0" borderId="0" xfId="0" applyAlignment="1">
      <alignment horizontal="left"/>
    </xf>
    <xf numFmtId="0" fontId="0" fillId="0" borderId="0" xfId="0" applyAlignment="1">
      <alignment horizontal="left" indent="1"/>
    </xf>
    <xf numFmtId="164" fontId="0" fillId="0" borderId="0" xfId="0" applyNumberFormat="1"/>
  </cellXfs>
  <cellStyles count="1">
    <cellStyle name="Normal" xfId="0" builtinId="0"/>
  </cellStyles>
  <dxfs count="15">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numFmt numFmtId="164" formatCode="_-[$€-2]\ * #,##0.00_-;\-[$€-2]\ * #,##0.00_-;_-[$€-2]\ * &quot;-&quot;??_-;_-@_-"/>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dxf>
    <dxf>
      <font>
        <b val="0"/>
        <i val="0"/>
        <strike val="0"/>
        <condense val="0"/>
        <extend val="0"/>
        <outline val="0"/>
        <shadow val="0"/>
        <u val="none"/>
        <vertAlign val="baseline"/>
        <sz val="11"/>
        <color rgb="FF104861"/>
        <name val="Trebuchet MS"/>
        <family val="2"/>
        <scheme val="minor"/>
      </font>
      <numFmt numFmtId="166" formatCode="d/m/yy"/>
    </dxf>
    <dxf>
      <font>
        <b val="0"/>
        <i val="0"/>
        <strike val="0"/>
        <condense val="0"/>
        <extend val="0"/>
        <outline val="0"/>
        <shadow val="0"/>
        <u val="none"/>
        <vertAlign val="baseline"/>
        <sz val="11"/>
        <color rgb="FF104861"/>
        <name val="Trebuchet MS"/>
        <family val="2"/>
        <scheme val="minor"/>
      </font>
    </dxf>
    <dxf>
      <font>
        <b/>
        <i val="0"/>
        <strike val="0"/>
        <condense val="0"/>
        <extend val="0"/>
        <outline val="0"/>
        <shadow val="0"/>
        <u val="none"/>
        <vertAlign val="baseline"/>
        <sz val="11"/>
        <color theme="0"/>
        <name val="Trebuchet MS"/>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pivotCacheDefinition" Target="pivotCache/pivotCacheDefinition2.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3.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Métodos de Pago y Total de venta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14960629921"/>
          <c:y val="0.17377333041703119"/>
          <c:w val="0.72549759405074365"/>
          <c:h val="0.53128864100320794"/>
        </c:manualLayout>
      </c:layout>
      <c:barChart>
        <c:barDir val="col"/>
        <c:grouping val="stacked"/>
        <c:varyColors val="0"/>
        <c:ser>
          <c:idx val="0"/>
          <c:order val="0"/>
          <c:tx>
            <c:v>Total</c:v>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Efectivo Efectivo</c:v>
              </c:pt>
              <c:pt idx="1">
                <c:v>Pago por internet Paypal</c:v>
              </c:pt>
              <c:pt idx="2">
                <c:v>Pagos bancarios Tarjeta de credito</c:v>
              </c:pt>
              <c:pt idx="3">
                <c:v>Pagos bancarios Tarjeta de debito</c:v>
              </c:pt>
              <c:pt idx="4">
                <c:v>Pagos bancarios Transferencia Bancaria</c:v>
              </c:pt>
            </c:strLit>
          </c:cat>
          <c:val>
            <c:numLit>
              <c:formatCode>General</c:formatCode>
              <c:ptCount val="5"/>
              <c:pt idx="0">
                <c:v>5520981</c:v>
              </c:pt>
              <c:pt idx="1">
                <c:v>5500993</c:v>
              </c:pt>
              <c:pt idx="2">
                <c:v>4835492</c:v>
              </c:pt>
              <c:pt idx="3">
                <c:v>4398978</c:v>
              </c:pt>
              <c:pt idx="4">
                <c:v>7052972</c:v>
              </c:pt>
            </c:numLit>
          </c:val>
          <c:extLst>
            <c:ext xmlns:c16="http://schemas.microsoft.com/office/drawing/2014/chart" uri="{C3380CC4-5D6E-409C-BE32-E72D297353CC}">
              <c16:uniqueId val="{00000000-9204-5648-A74A-E40D51142D4C}"/>
            </c:ext>
          </c:extLst>
        </c:ser>
        <c:dLbls>
          <c:dLblPos val="ctr"/>
          <c:showLegendKey val="0"/>
          <c:showVal val="1"/>
          <c:showCatName val="0"/>
          <c:showSerName val="0"/>
          <c:showPercent val="0"/>
          <c:showBubbleSize val="0"/>
        </c:dLbls>
        <c:gapWidth val="150"/>
        <c:overlap val="100"/>
        <c:axId val="1676433983"/>
        <c:axId val="1676685119"/>
      </c:barChart>
      <c:catAx>
        <c:axId val="1676433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676685119"/>
        <c:crosses val="autoZero"/>
        <c:auto val="1"/>
        <c:lblAlgn val="ctr"/>
        <c:lblOffset val="100"/>
        <c:noMultiLvlLbl val="0"/>
      </c:catAx>
      <c:valAx>
        <c:axId val="1676685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67643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Cantidad</a:t>
            </a:r>
            <a:r>
              <a:rPr lang="en-US" baseline="0"/>
              <a:t> Vendida - Total de venta</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1-3</c:v>
              </c:pt>
              <c:pt idx="1">
                <c:v>4-6</c:v>
              </c:pt>
              <c:pt idx="2">
                <c:v>7-10</c:v>
              </c:pt>
            </c:strLit>
          </c:cat>
          <c:val>
            <c:numLit>
              <c:formatCode>General</c:formatCode>
              <c:ptCount val="3"/>
              <c:pt idx="0">
                <c:v>21810977</c:v>
              </c:pt>
              <c:pt idx="1">
                <c:v>5338964</c:v>
              </c:pt>
              <c:pt idx="2">
                <c:v>159475</c:v>
              </c:pt>
            </c:numLit>
          </c:val>
          <c:extLst>
            <c:ext xmlns:c16="http://schemas.microsoft.com/office/drawing/2014/chart" uri="{C3380CC4-5D6E-409C-BE32-E72D297353CC}">
              <c16:uniqueId val="{00000000-6741-5E43-AE86-B490144E5EC6}"/>
            </c:ext>
          </c:extLst>
        </c:ser>
        <c:dLbls>
          <c:showLegendKey val="0"/>
          <c:showVal val="0"/>
          <c:showCatName val="0"/>
          <c:showSerName val="0"/>
          <c:showPercent val="0"/>
          <c:showBubbleSize val="0"/>
        </c:dLbls>
        <c:gapWidth val="115"/>
        <c:overlap val="-20"/>
        <c:axId val="1683101823"/>
        <c:axId val="1683106751"/>
      </c:barChart>
      <c:catAx>
        <c:axId val="1683101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683106751"/>
        <c:crosses val="autoZero"/>
        <c:auto val="1"/>
        <c:lblAlgn val="ctr"/>
        <c:lblOffset val="100"/>
        <c:noMultiLvlLbl val="0"/>
      </c:catAx>
      <c:valAx>
        <c:axId val="16831067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68310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Región y Total</a:t>
            </a:r>
            <a:r>
              <a:rPr lang="en-US" baseline="0"/>
              <a:t> de Venta</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5"/>
              <c:pt idx="0">
                <c:v>Centro</c:v>
              </c:pt>
              <c:pt idx="1">
                <c:v>Este</c:v>
              </c:pt>
              <c:pt idx="2">
                <c:v>Norte</c:v>
              </c:pt>
              <c:pt idx="3">
                <c:v>Oeste</c:v>
              </c:pt>
              <c:pt idx="4">
                <c:v>Sur</c:v>
              </c:pt>
            </c:strLit>
          </c:cat>
          <c:val>
            <c:numLit>
              <c:formatCode>General</c:formatCode>
              <c:ptCount val="5"/>
              <c:pt idx="0">
                <c:v>6500981</c:v>
              </c:pt>
              <c:pt idx="1">
                <c:v>5106975</c:v>
              </c:pt>
              <c:pt idx="2">
                <c:v>5678481</c:v>
              </c:pt>
              <c:pt idx="3">
                <c:v>5059993</c:v>
              </c:pt>
              <c:pt idx="4">
                <c:v>4962986</c:v>
              </c:pt>
            </c:numLit>
          </c:val>
          <c:extLst>
            <c:ext xmlns:c16="http://schemas.microsoft.com/office/drawing/2014/chart" uri="{C3380CC4-5D6E-409C-BE32-E72D297353CC}">
              <c16:uniqueId val="{00000000-5814-A645-A7F3-933552C00505}"/>
            </c:ext>
          </c:extLst>
        </c:ser>
        <c:dLbls>
          <c:showLegendKey val="0"/>
          <c:showVal val="0"/>
          <c:showCatName val="0"/>
          <c:showSerName val="0"/>
          <c:showPercent val="0"/>
          <c:showBubbleSize val="0"/>
        </c:dLbls>
        <c:gapWidth val="315"/>
        <c:overlap val="-40"/>
        <c:axId val="1687862591"/>
        <c:axId val="1684835391"/>
      </c:barChart>
      <c:catAx>
        <c:axId val="1687862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684835391"/>
        <c:crosses val="autoZero"/>
        <c:auto val="1"/>
        <c:lblAlgn val="ctr"/>
        <c:lblOffset val="100"/>
        <c:noMultiLvlLbl val="0"/>
      </c:catAx>
      <c:valAx>
        <c:axId val="16848353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68786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20</xdr:col>
      <xdr:colOff>16764</xdr:colOff>
      <xdr:row>23</xdr:row>
      <xdr:rowOff>3736</xdr:rowOff>
    </xdr:from>
    <xdr:to>
      <xdr:col>28</xdr:col>
      <xdr:colOff>92964</xdr:colOff>
      <xdr:row>27</xdr:row>
      <xdr:rowOff>38100</xdr:rowOff>
    </xdr:to>
    <mc:AlternateContent xmlns:mc="http://schemas.openxmlformats.org/markup-compatibility/2006" xmlns:sle15="http://schemas.microsoft.com/office/drawing/2012/slicer">
      <mc:Choice Requires="sle15">
        <xdr:graphicFrame macro="">
          <xdr:nvGraphicFramePr>
            <xdr:cNvPr id="2" name="Region o ubicación">
              <a:extLst>
                <a:ext uri="{FF2B5EF4-FFF2-40B4-BE49-F238E27FC236}">
                  <a16:creationId xmlns:a16="http://schemas.microsoft.com/office/drawing/2014/main" id="{A11E3D7C-59E9-ED49-855D-7FE338A4C6CC}"/>
                </a:ext>
              </a:extLst>
            </xdr:cNvPr>
            <xdr:cNvGraphicFramePr/>
          </xdr:nvGraphicFramePr>
          <xdr:xfrm>
            <a:off x="0" y="0"/>
            <a:ext cx="0" cy="0"/>
          </xdr:xfrm>
          <a:graphic>
            <a:graphicData uri="http://schemas.microsoft.com/office/drawing/2010/slicer">
              <sle:slicer xmlns:sle="http://schemas.microsoft.com/office/drawing/2010/slicer" name="Region o ubicación"/>
            </a:graphicData>
          </a:graphic>
        </xdr:graphicFrame>
      </mc:Choice>
      <mc:Fallback xmlns="">
        <xdr:sp macro="" textlink="">
          <xdr:nvSpPr>
            <xdr:cNvPr id="0" name=""/>
            <xdr:cNvSpPr>
              <a:spLocks noTextEdit="1"/>
            </xdr:cNvSpPr>
          </xdr:nvSpPr>
          <xdr:spPr>
            <a:xfrm>
              <a:off x="22571964" y="4677336"/>
              <a:ext cx="3869267" cy="84716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393700</xdr:colOff>
      <xdr:row>28</xdr:row>
      <xdr:rowOff>165100</xdr:rowOff>
    </xdr:from>
    <xdr:to>
      <xdr:col>19</xdr:col>
      <xdr:colOff>342900</xdr:colOff>
      <xdr:row>41</xdr:row>
      <xdr:rowOff>142872</xdr:rowOff>
    </xdr:to>
    <mc:AlternateContent xmlns:mc="http://schemas.openxmlformats.org/markup-compatibility/2006" xmlns:sle15="http://schemas.microsoft.com/office/drawing/2012/slicer">
      <mc:Choice Requires="sle15">
        <xdr:graphicFrame macro="">
          <xdr:nvGraphicFramePr>
            <xdr:cNvPr id="3" name="Metodo de pago">
              <a:extLst>
                <a:ext uri="{FF2B5EF4-FFF2-40B4-BE49-F238E27FC236}">
                  <a16:creationId xmlns:a16="http://schemas.microsoft.com/office/drawing/2014/main" id="{2CCE32D2-A5D5-094A-A5CC-08862BB151D4}"/>
                </a:ext>
              </a:extLst>
            </xdr:cNvPr>
            <xdr:cNvGraphicFramePr/>
          </xdr:nvGraphicFramePr>
          <xdr:xfrm>
            <a:off x="0" y="0"/>
            <a:ext cx="0" cy="0"/>
          </xdr:xfrm>
          <a:graphic>
            <a:graphicData uri="http://schemas.microsoft.com/office/drawing/2010/slicer">
              <sle:slicer xmlns:sle="http://schemas.microsoft.com/office/drawing/2010/slicer" name="Metodo de pago"/>
            </a:graphicData>
          </a:graphic>
        </xdr:graphicFrame>
      </mc:Choice>
      <mc:Fallback xmlns="">
        <xdr:sp macro="" textlink="">
          <xdr:nvSpPr>
            <xdr:cNvPr id="0" name=""/>
            <xdr:cNvSpPr>
              <a:spLocks noTextEdit="1"/>
            </xdr:cNvSpPr>
          </xdr:nvSpPr>
          <xdr:spPr>
            <a:xfrm>
              <a:off x="20578233" y="5854700"/>
              <a:ext cx="1845734"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444500</xdr:colOff>
      <xdr:row>4</xdr:row>
      <xdr:rowOff>88900</xdr:rowOff>
    </xdr:from>
    <xdr:to>
      <xdr:col>20</xdr:col>
      <xdr:colOff>393700</xdr:colOff>
      <xdr:row>17</xdr:row>
      <xdr:rowOff>66672</xdr:rowOff>
    </xdr:to>
    <mc:AlternateContent xmlns:mc="http://schemas.openxmlformats.org/markup-compatibility/2006" xmlns:sle15="http://schemas.microsoft.com/office/drawing/2012/slicer">
      <mc:Choice Requires="sle15">
        <xdr:graphicFrame macro="">
          <xdr:nvGraphicFramePr>
            <xdr:cNvPr id="4" name="Categoria del producto">
              <a:extLst>
                <a:ext uri="{FF2B5EF4-FFF2-40B4-BE49-F238E27FC236}">
                  <a16:creationId xmlns:a16="http://schemas.microsoft.com/office/drawing/2014/main" id="{A5981EE1-A1CA-444A-90FD-758EA65419FD}"/>
                </a:ext>
              </a:extLst>
            </xdr:cNvPr>
            <xdr:cNvGraphicFramePr/>
          </xdr:nvGraphicFramePr>
          <xdr:xfrm>
            <a:off x="0" y="0"/>
            <a:ext cx="0" cy="0"/>
          </xdr:xfrm>
          <a:graphic>
            <a:graphicData uri="http://schemas.microsoft.com/office/drawing/2010/slicer">
              <sle:slicer xmlns:sle="http://schemas.microsoft.com/office/drawing/2010/slicer" name="Categoria del producto"/>
            </a:graphicData>
          </a:graphic>
        </xdr:graphicFrame>
      </mc:Choice>
      <mc:Fallback xmlns="">
        <xdr:sp macro="" textlink="">
          <xdr:nvSpPr>
            <xdr:cNvPr id="0" name=""/>
            <xdr:cNvSpPr>
              <a:spLocks noTextEdit="1"/>
            </xdr:cNvSpPr>
          </xdr:nvSpPr>
          <xdr:spPr>
            <a:xfrm>
              <a:off x="21103167" y="901700"/>
              <a:ext cx="1845733"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0</xdr:colOff>
      <xdr:row>70</xdr:row>
      <xdr:rowOff>0</xdr:rowOff>
    </xdr:from>
    <xdr:to>
      <xdr:col>9</xdr:col>
      <xdr:colOff>603250</xdr:colOff>
      <xdr:row>83</xdr:row>
      <xdr:rowOff>101600</xdr:rowOff>
    </xdr:to>
    <xdr:grpSp>
      <xdr:nvGrpSpPr>
        <xdr:cNvPr id="5" name="Grupo 13">
          <a:extLst>
            <a:ext uri="{FF2B5EF4-FFF2-40B4-BE49-F238E27FC236}">
              <a16:creationId xmlns:a16="http://schemas.microsoft.com/office/drawing/2014/main" id="{2100E6C7-AA42-2447-B6CA-7688A1CDE5F5}"/>
            </a:ext>
          </a:extLst>
        </xdr:cNvPr>
        <xdr:cNvGrpSpPr/>
      </xdr:nvGrpSpPr>
      <xdr:grpSpPr>
        <a:xfrm>
          <a:off x="5486400" y="14224000"/>
          <a:ext cx="7867650" cy="2743200"/>
          <a:chOff x="5461000" y="14224000"/>
          <a:chExt cx="6978650" cy="2743200"/>
        </a:xfrm>
      </xdr:grpSpPr>
      <mc:AlternateContent xmlns:mc="http://schemas.openxmlformats.org/markup-compatibility/2006" xmlns:a14="http://schemas.microsoft.com/office/drawing/2010/main">
        <mc:Choice Requires="a14">
          <xdr:graphicFrame macro="">
            <xdr:nvGraphicFramePr>
              <xdr:cNvPr id="6" name="Metodo de pago2">
                <a:extLst>
                  <a:ext uri="{FF2B5EF4-FFF2-40B4-BE49-F238E27FC236}">
                    <a16:creationId xmlns:a16="http://schemas.microsoft.com/office/drawing/2014/main" id="{7616A572-AF30-6D1F-B0EB-3D68EC3A40EB}"/>
                  </a:ext>
                </a:extLst>
              </xdr:cNvPr>
              <xdr:cNvGraphicFramePr/>
            </xdr:nvGraphicFramePr>
            <xdr:xfrm>
              <a:off x="5461000" y="14566900"/>
              <a:ext cx="1828800" cy="1333500"/>
            </xdr:xfrm>
            <a:graphic>
              <a:graphicData uri="http://schemas.microsoft.com/office/drawing/2010/slicer">
                <sle:slicer xmlns:sle="http://schemas.microsoft.com/office/drawing/2010/slicer" name="Metodo de pago2"/>
              </a:graphicData>
            </a:graphic>
          </xdr:graphicFrame>
        </mc:Choice>
        <mc:Fallback xmlns="">
          <xdr:sp macro="" textlink="">
            <xdr:nvSpPr>
              <xdr:cNvPr id="0" name=""/>
              <xdr:cNvSpPr>
                <a:spLocks noTextEdit="1"/>
              </xdr:cNvSpPr>
            </xdr:nvSpPr>
            <xdr:spPr>
              <a:xfrm>
                <a:off x="5486400" y="14566900"/>
                <a:ext cx="2061768"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7" name="Gráfico Metodos - Total">
            <a:extLst>
              <a:ext uri="{FF2B5EF4-FFF2-40B4-BE49-F238E27FC236}">
                <a16:creationId xmlns:a16="http://schemas.microsoft.com/office/drawing/2014/main" id="{B82B1137-9C20-3648-BAE3-DC412B1B724D}"/>
              </a:ext>
            </a:extLst>
          </xdr:cNvPr>
          <xdr:cNvGraphicFramePr/>
        </xdr:nvGraphicFramePr>
        <xdr:xfrm>
          <a:off x="7867650" y="1422400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457200</xdr:colOff>
      <xdr:row>57</xdr:row>
      <xdr:rowOff>177800</xdr:rowOff>
    </xdr:from>
    <xdr:to>
      <xdr:col>14</xdr:col>
      <xdr:colOff>120650</xdr:colOff>
      <xdr:row>77</xdr:row>
      <xdr:rowOff>152400</xdr:rowOff>
    </xdr:to>
    <xdr:grpSp>
      <xdr:nvGrpSpPr>
        <xdr:cNvPr id="8" name="Grupo 14">
          <a:extLst>
            <a:ext uri="{FF2B5EF4-FFF2-40B4-BE49-F238E27FC236}">
              <a16:creationId xmlns:a16="http://schemas.microsoft.com/office/drawing/2014/main" id="{65EF925B-520C-624C-A1BD-CDDC42A73A40}"/>
            </a:ext>
          </a:extLst>
        </xdr:cNvPr>
        <xdr:cNvGrpSpPr/>
      </xdr:nvGrpSpPr>
      <xdr:grpSpPr>
        <a:xfrm>
          <a:off x="13208000" y="11760200"/>
          <a:ext cx="6623050" cy="4038600"/>
          <a:chOff x="13081000" y="11747500"/>
          <a:chExt cx="6623050" cy="4038600"/>
        </a:xfrm>
      </xdr:grpSpPr>
      <mc:AlternateContent xmlns:mc="http://schemas.openxmlformats.org/markup-compatibility/2006" xmlns:a14="http://schemas.microsoft.com/office/drawing/2010/main">
        <mc:Choice Requires="a14">
          <xdr:graphicFrame macro="">
            <xdr:nvGraphicFramePr>
              <xdr:cNvPr id="9" name="Cantidad vendida">
                <a:extLst>
                  <a:ext uri="{FF2B5EF4-FFF2-40B4-BE49-F238E27FC236}">
                    <a16:creationId xmlns:a16="http://schemas.microsoft.com/office/drawing/2014/main" id="{A8449673-B968-9C14-C48F-04FB8AE1F770}"/>
                  </a:ext>
                </a:extLst>
              </xdr:cNvPr>
              <xdr:cNvGraphicFramePr/>
            </xdr:nvGraphicFramePr>
            <xdr:xfrm>
              <a:off x="13081000" y="11747500"/>
              <a:ext cx="1816100" cy="2273300"/>
            </xdr:xfrm>
            <a:graphic>
              <a:graphicData uri="http://schemas.microsoft.com/office/drawing/2010/slicer">
                <sle:slicer xmlns:sle="http://schemas.microsoft.com/office/drawing/2010/slicer" name="Cantidad vendida"/>
              </a:graphicData>
            </a:graphic>
          </xdr:graphicFrame>
        </mc:Choice>
        <mc:Fallback xmlns="">
          <xdr:sp macro="" textlink="">
            <xdr:nvSpPr>
              <xdr:cNvPr id="0" name=""/>
              <xdr:cNvSpPr>
                <a:spLocks noTextEdit="1"/>
              </xdr:cNvSpPr>
            </xdr:nvSpPr>
            <xdr:spPr>
              <a:xfrm>
                <a:off x="13208000" y="11760200"/>
                <a:ext cx="1816100" cy="227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0" name="Gráfico 9">
            <a:extLst>
              <a:ext uri="{FF2B5EF4-FFF2-40B4-BE49-F238E27FC236}">
                <a16:creationId xmlns:a16="http://schemas.microsoft.com/office/drawing/2014/main" id="{A33AE34F-AE73-AB92-10F2-52ECCB3A0F21}"/>
              </a:ext>
            </a:extLst>
          </xdr:cNvPr>
          <xdr:cNvGraphicFramePr/>
        </xdr:nvGraphicFramePr>
        <xdr:xfrm>
          <a:off x="15132050" y="1304290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xdr:col>
      <xdr:colOff>819150</xdr:colOff>
      <xdr:row>85</xdr:row>
      <xdr:rowOff>165100</xdr:rowOff>
    </xdr:from>
    <xdr:to>
      <xdr:col>8</xdr:col>
      <xdr:colOff>1422400</xdr:colOff>
      <xdr:row>113</xdr:row>
      <xdr:rowOff>139700</xdr:rowOff>
    </xdr:to>
    <xdr:grpSp>
      <xdr:nvGrpSpPr>
        <xdr:cNvPr id="11" name="Grupo 15">
          <a:extLst>
            <a:ext uri="{FF2B5EF4-FFF2-40B4-BE49-F238E27FC236}">
              <a16:creationId xmlns:a16="http://schemas.microsoft.com/office/drawing/2014/main" id="{CB5F67D0-4F4B-CC44-A244-2A20E109B46C}"/>
            </a:ext>
          </a:extLst>
        </xdr:cNvPr>
        <xdr:cNvGrpSpPr/>
      </xdr:nvGrpSpPr>
      <xdr:grpSpPr>
        <a:xfrm>
          <a:off x="6305550" y="17437100"/>
          <a:ext cx="6360583" cy="5664200"/>
          <a:chOff x="6280150" y="17437100"/>
          <a:chExt cx="6356350" cy="5664200"/>
        </a:xfrm>
      </xdr:grpSpPr>
      <mc:AlternateContent xmlns:mc="http://schemas.openxmlformats.org/markup-compatibility/2006" xmlns:a14="http://schemas.microsoft.com/office/drawing/2010/main">
        <mc:Choice Requires="a14">
          <xdr:graphicFrame macro="">
            <xdr:nvGraphicFramePr>
              <xdr:cNvPr id="12" name="Total de venta">
                <a:extLst>
                  <a:ext uri="{FF2B5EF4-FFF2-40B4-BE49-F238E27FC236}">
                    <a16:creationId xmlns:a16="http://schemas.microsoft.com/office/drawing/2014/main" id="{1055FF31-5FB4-F6C1-FF1D-8CE41B0AFD31}"/>
                  </a:ext>
                </a:extLst>
              </xdr:cNvPr>
              <xdr:cNvGraphicFramePr/>
            </xdr:nvGraphicFramePr>
            <xdr:xfrm>
              <a:off x="8890000" y="17449800"/>
              <a:ext cx="1828800" cy="2619372"/>
            </xdr:xfrm>
            <a:graphic>
              <a:graphicData uri="http://schemas.microsoft.com/office/drawing/2010/slicer">
                <sle:slicer xmlns:sle="http://schemas.microsoft.com/office/drawing/2010/slicer" name="Total de venta"/>
              </a:graphicData>
            </a:graphic>
          </xdr:graphicFrame>
        </mc:Choice>
        <mc:Fallback xmlns="">
          <xdr:sp macro="" textlink="">
            <xdr:nvSpPr>
              <xdr:cNvPr id="0" name=""/>
              <xdr:cNvSpPr>
                <a:spLocks noTextEdit="1"/>
              </xdr:cNvSpPr>
            </xdr:nvSpPr>
            <xdr:spPr>
              <a:xfrm>
                <a:off x="8917138" y="17449800"/>
                <a:ext cx="1830018"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Region o ubicación 1">
                <a:extLst>
                  <a:ext uri="{FF2B5EF4-FFF2-40B4-BE49-F238E27FC236}">
                    <a16:creationId xmlns:a16="http://schemas.microsoft.com/office/drawing/2014/main" id="{02EC8597-0760-3DA5-FF41-EFC5D6CF6648}"/>
                  </a:ext>
                </a:extLst>
              </xdr:cNvPr>
              <xdr:cNvGraphicFramePr/>
            </xdr:nvGraphicFramePr>
            <xdr:xfrm>
              <a:off x="10807700" y="17437100"/>
              <a:ext cx="1828800" cy="2619372"/>
            </xdr:xfrm>
            <a:graphic>
              <a:graphicData uri="http://schemas.microsoft.com/office/drawing/2010/slicer">
                <sle:slicer xmlns:sle="http://schemas.microsoft.com/office/drawing/2010/slicer" name="Region o ubicación 1"/>
              </a:graphicData>
            </a:graphic>
          </xdr:graphicFrame>
        </mc:Choice>
        <mc:Fallback xmlns="">
          <xdr:sp macro="" textlink="">
            <xdr:nvSpPr>
              <xdr:cNvPr id="0" name=""/>
              <xdr:cNvSpPr>
                <a:spLocks noTextEdit="1"/>
              </xdr:cNvSpPr>
            </xdr:nvSpPr>
            <xdr:spPr>
              <a:xfrm>
                <a:off x="10836115" y="17437100"/>
                <a:ext cx="1830018"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4" name="Región y Total de Venta">
            <a:extLst>
              <a:ext uri="{FF2B5EF4-FFF2-40B4-BE49-F238E27FC236}">
                <a16:creationId xmlns:a16="http://schemas.microsoft.com/office/drawing/2014/main" id="{D4DED444-867F-0A61-F0E7-36BFC886DBB1}"/>
              </a:ext>
            </a:extLst>
          </xdr:cNvPr>
          <xdr:cNvGraphicFramePr/>
        </xdr:nvGraphicFramePr>
        <xdr:xfrm>
          <a:off x="6280150" y="20358100"/>
          <a:ext cx="5461000"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erramientas%20Tecnolo&#769;gicas%20para%20el%20Ana&#769;lisis%20de%20Datos%20y%20de%20Negocios.%20Luis%20De%20Zabal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erramientas%20Tecnolo&#769;gicas%20para%20el%20Ana&#769;lisis%20de%20Datos%20y%20de%20Negocios.%20Luis%20De%20Zabala.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Herramientas%20Tecnolo&#769;gicas%20para%20el%20Ana&#769;lisis%20de%20Datos%20y%20de%20Negocios.%20Luis%20De%20Zabala.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72.389624189818" createdVersion="8" refreshedVersion="8" minRefreshableVersion="3" recordCount="55" xr:uid="{3667F5EF-BDED-C543-B83B-7567E80D1F05}">
  <cacheSource type="worksheet">
    <worksheetSource name="Tabla13" r:id="rId2"/>
  </cacheSource>
  <cacheFields count="15">
    <cacheField name="Fecha de venta" numFmtId="14">
      <sharedItems containsSemiMixedTypes="0" containsNonDate="0" containsDate="1" containsString="0" minDate="2023-09-01T00:00:00" maxDate="2023-10-27T00:00:00"/>
    </cacheField>
    <cacheField name="ID  del producto " numFmtId="0">
      <sharedItems count="54">
        <s v="PROD002"/>
        <s v="PROD001"/>
        <s v="PROD003"/>
        <s v="PROD005"/>
        <s v="PROD006"/>
        <s v="PROD007"/>
        <s v="PROD008"/>
        <s v="PROD009"/>
        <s v="PROD010"/>
        <s v="PROD011"/>
        <s v="PROD012"/>
        <s v="PROD013"/>
        <s v="PROD014"/>
        <s v="PROD015"/>
        <s v="PROD016"/>
        <s v="PROD017"/>
        <s v="PROD018"/>
        <s v="PROD019"/>
        <s v="PROD020"/>
        <s v="PROD021"/>
        <s v="PROD022"/>
        <s v="PROD023"/>
        <s v="PROD024"/>
        <s v="PROD025"/>
        <s v="PROD026"/>
        <s v="PROD027"/>
        <s v="PROD028"/>
        <s v="PROD029"/>
        <s v="PROD030"/>
        <s v="PROD031"/>
        <s v="PROD032"/>
        <s v="PROD033"/>
        <s v="PROD034"/>
        <s v="PROD035"/>
        <s v="PROD036"/>
        <s v="PROD037"/>
        <s v="PROD038"/>
        <s v="PROD039"/>
        <s v="PROD040"/>
        <s v="PROD041"/>
        <s v="PROD042"/>
        <s v="PROD043"/>
        <s v="PROD044"/>
        <s v="PROD045"/>
        <s v="PROD046"/>
        <s v="PROD047"/>
        <s v="PROD048"/>
        <s v="PROD049"/>
        <s v="PROD050"/>
        <s v="PROD051"/>
        <s v="PROD052"/>
        <s v="PROD053"/>
        <s v="PROD054"/>
        <s v="PROD055"/>
      </sharedItems>
    </cacheField>
    <cacheField name="Nombre del producto" numFmtId="0">
      <sharedItems/>
    </cacheField>
    <cacheField name="Cantidad vendida" numFmtId="0">
      <sharedItems containsSemiMixedTypes="0" containsString="0" containsNumber="1" containsInteger="1" minValue="1" maxValue="10"/>
    </cacheField>
    <cacheField name="Precio unitario" numFmtId="166">
      <sharedItems containsSemiMixedTypes="0" containsString="0" containsNumber="1" containsInteger="1" minValue="1599" maxValue="1500000"/>
    </cacheField>
    <cacheField name="Total de venta" numFmtId="0">
      <sharedItems containsSemiMixedTypes="0" containsString="0" containsNumber="1" containsInteger="1" minValue="7999" maxValue="2400000" count="51">
        <n v="269997"/>
        <n v="259998"/>
        <n v="64995"/>
        <n v="15990"/>
        <n v="7999"/>
        <n v="183996"/>
        <n v="119994"/>
        <n v="171000"/>
        <n v="49995"/>
        <n v="197997"/>
        <n v="59500"/>
        <n v="45998"/>
        <n v="55992"/>
        <n v="58000"/>
        <n v="54999"/>
        <n v="179000"/>
        <n v="74997"/>
        <n v="120000"/>
        <n v="75996"/>
        <n v="110000"/>
        <n v="62500"/>
        <n v="29994"/>
        <n v="119997"/>
        <n v="95000"/>
        <n v="300000"/>
        <n v="27993"/>
        <n v="450000"/>
        <n v="114000"/>
        <n v="239997"/>
        <n v="69998"/>
        <n v="47500"/>
        <n v="101994"/>
        <n v="84000"/>
        <n v="320000"/>
        <n v="640000"/>
        <n v="1120000"/>
        <n v="900000"/>
        <n v="1170000"/>
        <n v="1040000"/>
        <n v="570000"/>
        <n v="1000000"/>
        <n v="1200000"/>
        <n v="1500000"/>
        <n v="1960000"/>
        <n v="1260000"/>
        <n v="840000"/>
        <n v="890000"/>
        <n v="1340000"/>
        <n v="1050000"/>
        <n v="2400000"/>
        <n v="1230000"/>
      </sharedItems>
    </cacheField>
    <cacheField name="ID del cliente" numFmtId="0">
      <sharedItems count="55">
        <s v="CLI002"/>
        <s v="CLI001"/>
        <s v="CLI003"/>
        <s v="CLI005"/>
        <s v="CLI004"/>
        <s v="CLI006"/>
        <s v="CLI007"/>
        <s v="CLI008"/>
        <s v="CLI009"/>
        <s v="CLI010"/>
        <s v="CLI011"/>
        <s v="CLI012"/>
        <s v="CLI013"/>
        <s v="CLI014"/>
        <s v="CLI015"/>
        <s v="CLI016"/>
        <s v="CLI017"/>
        <s v="CLI018"/>
        <s v="CLI019"/>
        <s v="CLI020"/>
        <s v="CLI021"/>
        <s v="CLI022"/>
        <s v="CLI023"/>
        <s v="CLI024"/>
        <s v="CLI025"/>
        <s v="CLI026"/>
        <s v="CLI027"/>
        <s v="CLI028"/>
        <s v="CLI029"/>
        <s v="CLI030"/>
        <s v="CLI031"/>
        <s v="CLI032"/>
        <s v="CLI033"/>
        <s v="CLI034"/>
        <s v="CLI035"/>
        <s v="CLI036"/>
        <s v="CLI037"/>
        <s v="CLI038"/>
        <s v="CLI039"/>
        <s v="CLI040"/>
        <s v="CLI041"/>
        <s v="CLI042"/>
        <s v="CLI043"/>
        <s v="CLI044"/>
        <s v="CLI045"/>
        <s v="CLI046"/>
        <s v="CLI047"/>
        <s v="CLI048"/>
        <s v="CLI049"/>
        <s v="CLI050"/>
        <s v="CLI051"/>
        <s v="CLI052"/>
        <s v="CLI053"/>
        <s v="CLI054"/>
        <s v="CLI055"/>
      </sharedItems>
    </cacheField>
    <cacheField name="Nombre del cliente" numFmtId="0">
      <sharedItems/>
    </cacheField>
    <cacheField name="Region o ubicación" numFmtId="0">
      <sharedItems count="5">
        <s v="Sur"/>
        <s v="Norte"/>
        <s v="Este"/>
        <s v="Centro"/>
        <s v="Oeste"/>
      </sharedItems>
    </cacheField>
    <cacheField name="Metodo de pago" numFmtId="0">
      <sharedItems count="5">
        <s v="Efectivo"/>
        <s v="Tarjeta de credito"/>
        <s v="Transferencia Bancaria"/>
        <s v="Tarjeta de debito"/>
        <s v="Paypal"/>
      </sharedItems>
      <fieldGroup par="14"/>
    </cacheField>
    <cacheField name="Vendedor" numFmtId="0">
      <sharedItems count="3">
        <s v="VEND002"/>
        <s v="VEND001"/>
        <s v="VEND003"/>
      </sharedItems>
    </cacheField>
    <cacheField name="Categoria del producto" numFmtId="0">
      <sharedItems/>
    </cacheField>
    <cacheField name="Costo del producto" numFmtId="164">
      <sharedItems containsSemiMixedTypes="0" containsString="0" containsNumber="1" containsInteger="1" minValue="1000" maxValue="1200000"/>
    </cacheField>
    <cacheField name="Margen de beneficio" numFmtId="0">
      <sharedItems containsNonDate="0" containsString="0" containsBlank="1"/>
    </cacheField>
    <cacheField name="Metodo de pago2" numFmtId="0" databaseField="0">
      <fieldGroup base="9">
        <discretePr count="5">
          <x v="0"/>
          <x v="2"/>
          <x v="2"/>
          <x v="2"/>
          <x v="1"/>
        </discretePr>
        <groupItems count="3">
          <s v="Efectivo"/>
          <s v="Paypal"/>
          <s v="Grupo1"/>
        </groupItems>
      </fieldGroup>
    </cacheField>
  </cacheFields>
  <extLst>
    <ext xmlns:x14="http://schemas.microsoft.com/office/spreadsheetml/2009/9/main" uri="{725AE2AE-9491-48be-B2B4-4EB974FC3084}">
      <x14:pivotCacheDefinition pivotCacheId="8381287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72.374141666667" createdVersion="8" refreshedVersion="8" minRefreshableVersion="3" recordCount="55" xr:uid="{76C8191E-0406-AC40-BD27-E46C9675A1AF}">
  <cacheSource type="worksheet">
    <worksheetSource name="Tabla13[[Fecha de venta]:[Costo del producto]]" r:id="rId2"/>
  </cacheSource>
  <cacheFields count="13">
    <cacheField name="Fecha de venta" numFmtId="14">
      <sharedItems containsSemiMixedTypes="0" containsNonDate="0" containsDate="1" containsString="0" minDate="2023-09-01T00:00:00" maxDate="2023-10-27T00:00:00"/>
    </cacheField>
    <cacheField name="ID  del producto " numFmtId="0">
      <sharedItems/>
    </cacheField>
    <cacheField name="Nombre del producto" numFmtId="0">
      <sharedItems/>
    </cacheField>
    <cacheField name="Cantidad vendida" numFmtId="0">
      <sharedItems containsSemiMixedTypes="0" containsString="0" containsNumber="1" containsInteger="1" minValue="1" maxValue="10" count="9">
        <n v="3"/>
        <n v="2"/>
        <n v="5"/>
        <n v="10"/>
        <n v="1"/>
        <n v="4"/>
        <n v="6"/>
        <n v="7"/>
        <n v="8"/>
      </sharedItems>
      <fieldGroup base="3">
        <rangePr startNum="1" endNum="10" groupInterval="3"/>
        <groupItems count="5">
          <s v="&lt;1"/>
          <s v="1-3"/>
          <s v="4-6"/>
          <s v="7-10"/>
          <s v="&gt;10"/>
        </groupItems>
      </fieldGroup>
    </cacheField>
    <cacheField name="Precio unitario" numFmtId="166">
      <sharedItems containsSemiMixedTypes="0" containsString="0" containsNumber="1" containsInteger="1" minValue="1599" maxValue="1500000"/>
    </cacheField>
    <cacheField name="Total de venta" numFmtId="0">
      <sharedItems containsSemiMixedTypes="0" containsString="0" containsNumber="1" containsInteger="1" minValue="7999" maxValue="2400000"/>
    </cacheField>
    <cacheField name="ID del cliente" numFmtId="0">
      <sharedItems/>
    </cacheField>
    <cacheField name="Nombre del cliente" numFmtId="0">
      <sharedItems/>
    </cacheField>
    <cacheField name="Region o ubicación" numFmtId="0">
      <sharedItems/>
    </cacheField>
    <cacheField name="Metodo de pago" numFmtId="0">
      <sharedItems/>
    </cacheField>
    <cacheField name="Vendedor" numFmtId="0">
      <sharedItems/>
    </cacheField>
    <cacheField name="Categoria del producto" numFmtId="0">
      <sharedItems/>
    </cacheField>
    <cacheField name="Costo del producto" numFmtId="164">
      <sharedItems containsSemiMixedTypes="0" containsString="0" containsNumber="1" containsInteger="1" minValue="1000" maxValue="1200000"/>
    </cacheField>
  </cacheFields>
  <extLst>
    <ext xmlns:x14="http://schemas.microsoft.com/office/spreadsheetml/2009/9/main" uri="{725AE2AE-9491-48be-B2B4-4EB974FC3084}">
      <x14:pivotCacheDefinition pivotCacheId="19026507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71.474283564814" createdVersion="8" refreshedVersion="8" minRefreshableVersion="3" recordCount="35" xr:uid="{563C1C24-FE18-9D41-A294-1EF15AD78D0F}">
  <cacheSource type="worksheet">
    <worksheetSource ref="A1:N56" sheet="Tabla de ventas" r:id="rId2"/>
  </cacheSource>
  <cacheFields count="14">
    <cacheField name="Fecha de venta" numFmtId="14">
      <sharedItems containsSemiMixedTypes="0" containsNonDate="0" containsDate="1" containsString="0" minDate="2023-09-01T00:00:00" maxDate="2023-10-07T00:00:00"/>
    </cacheField>
    <cacheField name="ID  del producto " numFmtId="0">
      <sharedItems count="34">
        <s v="PROD002"/>
        <s v="PROD001"/>
        <s v="PROD003"/>
        <s v="PROD005"/>
        <s v="PROD006"/>
        <s v="PROD007"/>
        <s v="PROD008"/>
        <s v="PROD009"/>
        <s v="PROD010"/>
        <s v="PROD011"/>
        <s v="PROD012"/>
        <s v="PROD013"/>
        <s v="PROD014"/>
        <s v="PROD015"/>
        <s v="PROD016"/>
        <s v="PROD017"/>
        <s v="PROD018"/>
        <s v="PROD019"/>
        <s v="PROD020"/>
        <s v="PROD021"/>
        <s v="PROD022"/>
        <s v="PROD023"/>
        <s v="PROD024"/>
        <s v="PROD025"/>
        <s v="PROD026"/>
        <s v="PROD027"/>
        <s v="PROD028"/>
        <s v="PROD029"/>
        <s v="PROD030"/>
        <s v="PROD031"/>
        <s v="PROD032"/>
        <s v="PROD033"/>
        <s v="PROD034"/>
        <s v="PROD035"/>
      </sharedItems>
    </cacheField>
    <cacheField name="Nombre del producto" numFmtId="0">
      <sharedItems/>
    </cacheField>
    <cacheField name="Cantidac vendida" numFmtId="0">
      <sharedItems containsSemiMixedTypes="0" containsString="0" containsNumber="1" containsInteger="1" minValue="1" maxValue="10"/>
    </cacheField>
    <cacheField name="Precio unitario" numFmtId="164">
      <sharedItems containsSemiMixedTypes="0" containsString="0" containsNumber="1" containsInteger="1" minValue="1599" maxValue="450000"/>
    </cacheField>
    <cacheField name="Total de venta" numFmtId="0">
      <sharedItems containsSemiMixedTypes="0" containsString="0" containsNumber="1" containsInteger="1" minValue="7999" maxValue="450000"/>
    </cacheField>
    <cacheField name="ID del cliente" numFmtId="0">
      <sharedItems/>
    </cacheField>
    <cacheField name="Nombre del cliente" numFmtId="0">
      <sharedItems/>
    </cacheField>
    <cacheField name="Region o ubicación" numFmtId="0">
      <sharedItems count="5">
        <s v="Sur"/>
        <s v="Norte"/>
        <s v="Este"/>
        <s v="Centro"/>
        <s v="Oeste"/>
      </sharedItems>
    </cacheField>
    <cacheField name="Metodo de pago" numFmtId="0">
      <sharedItems/>
    </cacheField>
    <cacheField name="Vendedor" numFmtId="0">
      <sharedItems/>
    </cacheField>
    <cacheField name="Categoria del producto" numFmtId="0">
      <sharedItems/>
    </cacheField>
    <cacheField name="Costo del producto" numFmtId="165">
      <sharedItems containsSemiMixedTypes="0" containsString="0" containsNumber="1" containsInteger="1" minValue="1000" maxValue="320000"/>
    </cacheField>
    <cacheField name="Margen de benefici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d v="2023-09-02T00:00:00"/>
    <x v="0"/>
    <s v="Smartphone samsung Galaxy"/>
    <n v="3"/>
    <n v="89999"/>
    <x v="0"/>
    <x v="0"/>
    <s v="Maria Garcia"/>
    <x v="0"/>
    <x v="0"/>
    <x v="0"/>
    <s v="Electronicos"/>
    <n v="70000"/>
    <m/>
  </r>
  <r>
    <d v="2023-09-01T00:00:00"/>
    <x v="1"/>
    <s v="Laptop Dell XPS"/>
    <n v="2"/>
    <n v="129999"/>
    <x v="1"/>
    <x v="1"/>
    <s v="Juan Perez"/>
    <x v="1"/>
    <x v="1"/>
    <x v="1"/>
    <s v="Electronicos"/>
    <n v="100000"/>
    <m/>
  </r>
  <r>
    <d v="2023-09-03T00:00:00"/>
    <x v="2"/>
    <s v="Zapatilla Nike Air Max"/>
    <n v="5"/>
    <n v="12999"/>
    <x v="2"/>
    <x v="2"/>
    <s v="Carlos Rodriguez"/>
    <x v="2"/>
    <x v="2"/>
    <x v="2"/>
    <s v="Ropa y calzado"/>
    <n v="8000"/>
    <m/>
  </r>
  <r>
    <d v="2023-09-05T00:00:00"/>
    <x v="3"/>
    <s v="Libro &quot;Cien anños de soledad"/>
    <n v="10"/>
    <n v="1599"/>
    <x v="3"/>
    <x v="3"/>
    <s v="Pedro Sanchez"/>
    <x v="3"/>
    <x v="3"/>
    <x v="0"/>
    <s v="Libros"/>
    <n v="1000"/>
    <m/>
  </r>
  <r>
    <d v="2023-09-04T00:00:00"/>
    <x v="3"/>
    <s v="Licuadora oster"/>
    <n v="1"/>
    <n v="7999"/>
    <x v="4"/>
    <x v="4"/>
    <s v="Ana Martinez"/>
    <x v="4"/>
    <x v="4"/>
    <x v="1"/>
    <s v="Electrodomesticos"/>
    <n v="5000"/>
    <m/>
  </r>
  <r>
    <d v="2023-09-07T00:00:00"/>
    <x v="4"/>
    <s v="Tablet Samsung Galaxy Tab"/>
    <n v="4"/>
    <n v="45999"/>
    <x v="5"/>
    <x v="5"/>
    <s v="Luis Fernandez"/>
    <x v="0"/>
    <x v="1"/>
    <x v="2"/>
    <s v="Electronicos"/>
    <n v="30000"/>
    <m/>
  </r>
  <r>
    <d v="2023-09-08T00:00:00"/>
    <x v="5"/>
    <s v="Audifonos Sony WH-1000XM4"/>
    <n v="6"/>
    <n v="19999"/>
    <x v="6"/>
    <x v="6"/>
    <s v="Camila Torres"/>
    <x v="1"/>
    <x v="2"/>
    <x v="1"/>
    <s v="Electronicos"/>
    <n v="12000"/>
    <m/>
  </r>
  <r>
    <d v="2023-09-09T00:00:00"/>
    <x v="6"/>
    <s v="Silla ergonomica oficina"/>
    <n v="2"/>
    <n v="85500"/>
    <x v="7"/>
    <x v="7"/>
    <s v="Jorge Ramirez"/>
    <x v="3"/>
    <x v="0"/>
    <x v="0"/>
    <s v="Muebles"/>
    <n v="50000"/>
    <m/>
  </r>
  <r>
    <d v="2023-09-10T00:00:00"/>
    <x v="7"/>
    <s v="Mouse Logitech MX Master"/>
    <n v="5"/>
    <n v="9999"/>
    <x v="8"/>
    <x v="8"/>
    <s v="Andrea Lopez"/>
    <x v="2"/>
    <x v="3"/>
    <x v="2"/>
    <s v="Accesorios"/>
    <n v="4000"/>
    <m/>
  </r>
  <r>
    <d v="2023-09-11T00:00:00"/>
    <x v="8"/>
    <s v="Monitor LG 27 pulgadas"/>
    <n v="3"/>
    <n v="65999"/>
    <x v="9"/>
    <x v="9"/>
    <s v="Diego Morales"/>
    <x v="4"/>
    <x v="4"/>
    <x v="1"/>
    <s v="Electronicos"/>
    <n v="40000"/>
    <m/>
  </r>
  <r>
    <d v="2023-09-12T00:00:00"/>
    <x v="9"/>
    <s v="Teclado mecanico Redragon"/>
    <n v="7"/>
    <n v="8500"/>
    <x v="10"/>
    <x v="10"/>
    <s v="Sofia Herrera"/>
    <x v="0"/>
    <x v="0"/>
    <x v="0"/>
    <s v="Accesorios"/>
    <n v="3500"/>
    <m/>
  </r>
  <r>
    <d v="2023-09-13T00:00:00"/>
    <x v="10"/>
    <s v="Cafetera Oster 12 tazas"/>
    <n v="2"/>
    <n v="22999"/>
    <x v="11"/>
    <x v="11"/>
    <s v="Miguel Castro"/>
    <x v="1"/>
    <x v="1"/>
    <x v="2"/>
    <s v="Electrodomesticos"/>
    <n v="15000"/>
    <m/>
  </r>
  <r>
    <d v="2023-09-14T00:00:00"/>
    <x v="11"/>
    <s v="Smartwatch Xiaomi Band 8"/>
    <n v="8"/>
    <n v="6999"/>
    <x v="12"/>
    <x v="12"/>
    <s v="Valeria Rojas"/>
    <x v="2"/>
    <x v="2"/>
    <x v="1"/>
    <s v="Electronicos"/>
    <n v="2500"/>
    <m/>
  </r>
  <r>
    <d v="2023-09-15T00:00:00"/>
    <x v="12"/>
    <s v="Mochila escolar Adidas"/>
    <n v="4"/>
    <n v="14500"/>
    <x v="13"/>
    <x v="13"/>
    <s v="Ricardo Vega"/>
    <x v="3"/>
    <x v="3"/>
    <x v="0"/>
    <s v="Ropa y calzado"/>
    <n v="7000"/>
    <m/>
  </r>
  <r>
    <d v="2023-09-16T00:00:00"/>
    <x v="13"/>
    <s v="Impresora HP DeskJet"/>
    <n v="1"/>
    <n v="54999"/>
    <x v="14"/>
    <x v="14"/>
    <s v="Elena Navarro"/>
    <x v="4"/>
    <x v="4"/>
    <x v="2"/>
    <s v="Electronicos"/>
    <n v="35000"/>
    <m/>
  </r>
  <r>
    <d v="2023-09-17T00:00:00"/>
    <x v="14"/>
    <s v="Camara Canon EOS M50"/>
    <n v="2"/>
    <n v="89500"/>
    <x v="15"/>
    <x v="15"/>
    <s v="Pablo Gutierrez"/>
    <x v="0"/>
    <x v="1"/>
    <x v="1"/>
    <s v="Electronicos"/>
    <n v="60000"/>
    <m/>
  </r>
  <r>
    <d v="2023-09-18T00:00:00"/>
    <x v="15"/>
    <s v="Altavoz JBL Charge 5"/>
    <n v="3"/>
    <n v="24999"/>
    <x v="16"/>
    <x v="16"/>
    <s v="Laura Medina"/>
    <x v="1"/>
    <x v="0"/>
    <x v="0"/>
    <s v="Electronicos"/>
    <n v="15000"/>
    <m/>
  </r>
  <r>
    <d v="2023-09-19T00:00:00"/>
    <x v="16"/>
    <s v="Mesa de escritorio madera"/>
    <n v="1"/>
    <n v="120000"/>
    <x v="17"/>
    <x v="17"/>
    <s v="Raul Paredes"/>
    <x v="3"/>
    <x v="2"/>
    <x v="2"/>
    <s v="Muebles"/>
    <n v="80000"/>
    <m/>
  </r>
  <r>
    <d v="2023-09-20T00:00:00"/>
    <x v="17"/>
    <s v="Zapatillas Adidas Runfalcon"/>
    <n v="4"/>
    <n v="18999"/>
    <x v="18"/>
    <x v="18"/>
    <s v="Daniela Soto"/>
    <x v="2"/>
    <x v="3"/>
    <x v="0"/>
    <s v="Ropa y calzado"/>
    <n v="9000"/>
    <m/>
  </r>
  <r>
    <d v="2023-09-21T00:00:00"/>
    <x v="18"/>
    <s v="Horno microondas Samsung"/>
    <n v="2"/>
    <n v="55000"/>
    <x v="19"/>
    <x v="19"/>
    <s v="Cesar Vargas"/>
    <x v="4"/>
    <x v="4"/>
    <x v="1"/>
    <s v="Electrodomesticos"/>
    <n v="35000"/>
    <m/>
  </r>
  <r>
    <d v="2023-09-22T00:00:00"/>
    <x v="19"/>
    <s v="Disco duro externo 1TB"/>
    <n v="5"/>
    <n v="12500"/>
    <x v="20"/>
    <x v="20"/>
    <s v="Mariana Ruiz"/>
    <x v="0"/>
    <x v="1"/>
    <x v="2"/>
    <s v="Electronicos"/>
    <n v="6000"/>
    <m/>
  </r>
  <r>
    <d v="2023-09-23T00:00:00"/>
    <x v="20"/>
    <s v="Lampara LED escritorio"/>
    <n v="6"/>
    <n v="4999"/>
    <x v="21"/>
    <x v="21"/>
    <s v="Julio Campos"/>
    <x v="1"/>
    <x v="0"/>
    <x v="0"/>
    <s v="Iluminacion"/>
    <n v="2000"/>
    <m/>
  </r>
  <r>
    <d v="2023-09-24T00:00:00"/>
    <x v="21"/>
    <s v="Tablet Lenovo Tab M10"/>
    <n v="3"/>
    <n v="39999"/>
    <x v="22"/>
    <x v="22"/>
    <s v="Paola Rios"/>
    <x v="3"/>
    <x v="2"/>
    <x v="1"/>
    <s v="Electronicos"/>
    <n v="25000"/>
    <m/>
  </r>
  <r>
    <d v="2023-09-25T00:00:00"/>
    <x v="22"/>
    <s v="Aspiradora Philips PowerPro"/>
    <n v="1"/>
    <n v="95000"/>
    <x v="23"/>
    <x v="23"/>
    <s v="Fernando Luna"/>
    <x v="4"/>
    <x v="3"/>
    <x v="2"/>
    <s v="Electrodomesticos"/>
    <n v="60000"/>
    <m/>
  </r>
  <r>
    <d v="2023-09-26T00:00:00"/>
    <x v="23"/>
    <s v="Silla gamer Cougar"/>
    <n v="2"/>
    <n v="150000"/>
    <x v="24"/>
    <x v="24"/>
    <s v="Kevin Salazar"/>
    <x v="2"/>
    <x v="4"/>
    <x v="0"/>
    <s v="Muebles"/>
    <n v="100000"/>
    <m/>
  </r>
  <r>
    <d v="2023-09-27T00:00:00"/>
    <x v="24"/>
    <s v="Reloj Casio digital"/>
    <n v="7"/>
    <n v="3999"/>
    <x v="25"/>
    <x v="25"/>
    <s v="Natalia Vega"/>
    <x v="0"/>
    <x v="0"/>
    <x v="1"/>
    <s v="Accesorios"/>
    <n v="1500"/>
    <m/>
  </r>
  <r>
    <d v="2023-09-28T00:00:00"/>
    <x v="25"/>
    <s v="Bicicleta urbana Trek"/>
    <n v="1"/>
    <n v="450000"/>
    <x v="26"/>
    <x v="26"/>
    <s v="Andres Molina"/>
    <x v="1"/>
    <x v="2"/>
    <x v="2"/>
    <s v="Deportes"/>
    <n v="320000"/>
    <m/>
  </r>
  <r>
    <d v="2023-09-29T00:00:00"/>
    <x v="26"/>
    <s v="Router TP-Link AX3000"/>
    <n v="4"/>
    <n v="28500"/>
    <x v="27"/>
    <x v="27"/>
    <s v="Gabriela Peña"/>
    <x v="3"/>
    <x v="1"/>
    <x v="0"/>
    <s v="Electronicos"/>
    <n v="18000"/>
    <m/>
  </r>
  <r>
    <d v="2023-09-30T00:00:00"/>
    <x v="27"/>
    <s v="Celular Xiaomi Redmi Note"/>
    <n v="3"/>
    <n v="79999"/>
    <x v="28"/>
    <x v="28"/>
    <s v="Hector Fuentes"/>
    <x v="2"/>
    <x v="3"/>
    <x v="1"/>
    <s v="Electronicos"/>
    <n v="50000"/>
    <m/>
  </r>
  <r>
    <d v="2023-10-01T00:00:00"/>
    <x v="28"/>
    <s v="Batidora Oster 6 velocidades"/>
    <n v="2"/>
    <n v="34999"/>
    <x v="29"/>
    <x v="29"/>
    <s v="Lucia Cabrera"/>
    <x v="4"/>
    <x v="4"/>
    <x v="2"/>
    <s v="Electrodomesticos"/>
    <n v="20000"/>
    <m/>
  </r>
  <r>
    <d v="2023-10-02T00:00:00"/>
    <x v="29"/>
    <s v="Impresora Epson EcoTank"/>
    <n v="1"/>
    <n v="110000"/>
    <x v="19"/>
    <x v="30"/>
    <s v="Martin Rojas"/>
    <x v="0"/>
    <x v="1"/>
    <x v="0"/>
    <s v="Electronicos"/>
    <n v="75000"/>
    <m/>
  </r>
  <r>
    <d v="2023-10-03T00:00:00"/>
    <x v="30"/>
    <s v="Auriculares Bluetooth JBL"/>
    <n v="5"/>
    <n v="9500"/>
    <x v="30"/>
    <x v="31"/>
    <s v="Carla Navarro"/>
    <x v="1"/>
    <x v="0"/>
    <x v="1"/>
    <s v="Electronicos"/>
    <n v="4000"/>
    <m/>
  </r>
  <r>
    <d v="2023-10-04T00:00:00"/>
    <x v="31"/>
    <s v="Mochila Nike deportiva"/>
    <n v="6"/>
    <n v="16999"/>
    <x v="31"/>
    <x v="32"/>
    <s v="Sergio Acosta"/>
    <x v="3"/>
    <x v="2"/>
    <x v="2"/>
    <s v="Ropa y calzado"/>
    <n v="8000"/>
    <m/>
  </r>
  <r>
    <d v="2023-10-05T00:00:00"/>
    <x v="32"/>
    <s v="Ventilador Torre Taurus"/>
    <n v="2"/>
    <n v="42000"/>
    <x v="32"/>
    <x v="33"/>
    <s v="Ana Beltran"/>
    <x v="4"/>
    <x v="3"/>
    <x v="0"/>
    <s v="Electrodomesticos"/>
    <n v="25000"/>
    <m/>
  </r>
  <r>
    <d v="2023-10-06T00:00:00"/>
    <x v="33"/>
    <s v="Smart TV LG 50 pulgadas"/>
    <n v="1"/>
    <n v="320000"/>
    <x v="33"/>
    <x v="34"/>
    <s v="David Herrera"/>
    <x v="2"/>
    <x v="4"/>
    <x v="1"/>
    <s v="Electronicos"/>
    <n v="250000"/>
    <m/>
  </r>
  <r>
    <d v="2023-10-07T00:00:00"/>
    <x v="34"/>
    <s v="Laptop HP Pavilion"/>
    <n v="3"/>
    <n v="150000"/>
    <x v="26"/>
    <x v="35"/>
    <s v="Alberto Cruz"/>
    <x v="1"/>
    <x v="1"/>
    <x v="1"/>
    <s v="Electronicos"/>
    <n v="110000"/>
    <m/>
  </r>
  <r>
    <d v="2023-10-08T00:00:00"/>
    <x v="35"/>
    <s v="iPhone 14"/>
    <n v="2"/>
    <n v="320000"/>
    <x v="34"/>
    <x v="36"/>
    <s v="Monica Reyes"/>
    <x v="0"/>
    <x v="0"/>
    <x v="0"/>
    <s v="Electronicos"/>
    <n v="250000"/>
    <m/>
  </r>
  <r>
    <d v="2023-10-09T00:00:00"/>
    <x v="36"/>
    <s v="Smart TV Samsung 55&quot;"/>
    <n v="4"/>
    <n v="280000"/>
    <x v="35"/>
    <x v="37"/>
    <s v="Javier Molina"/>
    <x v="2"/>
    <x v="2"/>
    <x v="2"/>
    <s v="Electronicos"/>
    <n v="200000"/>
    <m/>
  </r>
  <r>
    <d v="2023-10-10T00:00:00"/>
    <x v="37"/>
    <s v="Refrigeradora LG"/>
    <n v="2"/>
    <n v="450000"/>
    <x v="36"/>
    <x v="38"/>
    <s v="Patricia Gomez"/>
    <x v="3"/>
    <x v="3"/>
    <x v="1"/>
    <s v="Electrodomesticos"/>
    <n v="320000"/>
    <m/>
  </r>
  <r>
    <d v="2023-10-11T00:00:00"/>
    <x v="38"/>
    <s v="PlayStation 5"/>
    <n v="3"/>
    <n v="390000"/>
    <x v="37"/>
    <x v="39"/>
    <s v="Carlos Vega"/>
    <x v="4"/>
    <x v="4"/>
    <x v="0"/>
    <s v="Electronicos"/>
    <n v="300000"/>
    <m/>
  </r>
  <r>
    <d v="2023-10-12T00:00:00"/>
    <x v="39"/>
    <s v="Lavadora Samsung 18kg"/>
    <n v="2"/>
    <n v="520000"/>
    <x v="38"/>
    <x v="40"/>
    <s v="Luisa Herrera"/>
    <x v="0"/>
    <x v="1"/>
    <x v="2"/>
    <s v="Electrodomesticos"/>
    <n v="380000"/>
    <m/>
  </r>
  <r>
    <d v="2023-10-13T00:00:00"/>
    <x v="40"/>
    <s v="Monitor Gamer ASUS 27&quot;"/>
    <n v="5"/>
    <n v="180000"/>
    <x v="36"/>
    <x v="41"/>
    <s v="Rodrigo Salas"/>
    <x v="1"/>
    <x v="0"/>
    <x v="1"/>
    <s v="Electronicos"/>
    <n v="120000"/>
    <m/>
  </r>
  <r>
    <d v="2023-10-14T00:00:00"/>
    <x v="41"/>
    <s v="Silla Gamer Pro"/>
    <n v="6"/>
    <n v="95000"/>
    <x v="39"/>
    <x v="42"/>
    <s v="Diana Castro"/>
    <x v="2"/>
    <x v="3"/>
    <x v="0"/>
    <s v="Muebles"/>
    <n v="60000"/>
    <m/>
  </r>
  <r>
    <d v="2023-10-15T00:00:00"/>
    <x v="42"/>
    <s v="Tableta iPad Air"/>
    <n v="4"/>
    <n v="250000"/>
    <x v="40"/>
    <x v="43"/>
    <s v="Felipe Torres"/>
    <x v="3"/>
    <x v="2"/>
    <x v="2"/>
    <s v="Electronicos"/>
    <n v="180000"/>
    <m/>
  </r>
  <r>
    <d v="2023-10-16T00:00:00"/>
    <x v="43"/>
    <s v="Aire Acondicionado LG"/>
    <n v="2"/>
    <n v="600000"/>
    <x v="41"/>
    <x v="44"/>
    <s v="Maria Lopez"/>
    <x v="4"/>
    <x v="4"/>
    <x v="1"/>
    <s v="Electrodomesticos"/>
    <n v="450000"/>
    <m/>
  </r>
  <r>
    <d v="2023-10-17T00:00:00"/>
    <x v="44"/>
    <s v="PC Gamer RTX"/>
    <n v="1"/>
    <n v="1500000"/>
    <x v="42"/>
    <x v="45"/>
    <s v="Andres Rios"/>
    <x v="0"/>
    <x v="1"/>
    <x v="0"/>
    <s v="Electronicos"/>
    <n v="1200000"/>
    <m/>
  </r>
  <r>
    <d v="2023-10-18T00:00:00"/>
    <x v="45"/>
    <s v="MacBook Pro 14&quot;"/>
    <n v="2"/>
    <n v="980000"/>
    <x v="43"/>
    <x v="46"/>
    <s v="Sofia Martinez"/>
    <x v="1"/>
    <x v="0"/>
    <x v="2"/>
    <s v="Electronicos"/>
    <n v="800000"/>
    <m/>
  </r>
  <r>
    <d v="2023-10-19T00:00:00"/>
    <x v="46"/>
    <s v="Camara Sony Alpha"/>
    <n v="3"/>
    <n v="420000"/>
    <x v="44"/>
    <x v="47"/>
    <s v="Jose Ramirez"/>
    <x v="2"/>
    <x v="3"/>
    <x v="1"/>
    <s v="Electronicos"/>
    <n v="300000"/>
    <m/>
  </r>
  <r>
    <d v="2023-10-20T00:00:00"/>
    <x v="47"/>
    <s v="Bicicleta Electrica"/>
    <n v="2"/>
    <n v="750000"/>
    <x v="42"/>
    <x v="48"/>
    <s v="Camila Duarte"/>
    <x v="3"/>
    <x v="2"/>
    <x v="0"/>
    <s v="Deportes"/>
    <n v="520000"/>
    <m/>
  </r>
  <r>
    <d v="2023-10-21T00:00:00"/>
    <x v="48"/>
    <s v="Proyector Epson HD"/>
    <n v="4"/>
    <n v="210000"/>
    <x v="45"/>
    <x v="49"/>
    <s v="Diego Navarro"/>
    <x v="4"/>
    <x v="4"/>
    <x v="2"/>
    <s v="Electronicos"/>
    <n v="150000"/>
    <m/>
  </r>
  <r>
    <d v="2023-10-22T00:00:00"/>
    <x v="49"/>
    <s v="Horno Industrial"/>
    <n v="1"/>
    <n v="890000"/>
    <x v="46"/>
    <x v="50"/>
    <s v="Raul Mendoza"/>
    <x v="0"/>
    <x v="1"/>
    <x v="1"/>
    <s v="Electrodomesticos"/>
    <n v="650000"/>
    <m/>
  </r>
  <r>
    <d v="2023-10-23T00:00:00"/>
    <x v="50"/>
    <s v="Servidor NAS Synology"/>
    <n v="2"/>
    <n v="670000"/>
    <x v="47"/>
    <x v="51"/>
    <s v="Gabriel Ponce"/>
    <x v="1"/>
    <x v="0"/>
    <x v="0"/>
    <s v="Tecnologia"/>
    <n v="500000"/>
    <m/>
  </r>
  <r>
    <d v="2023-10-24T00:00:00"/>
    <x v="51"/>
    <s v="Drone DJI Mini 3"/>
    <n v="3"/>
    <n v="350000"/>
    <x v="48"/>
    <x v="52"/>
    <s v="Valeria Ruiz"/>
    <x v="2"/>
    <x v="3"/>
    <x v="2"/>
    <s v="Electronicos"/>
    <n v="250000"/>
    <m/>
  </r>
  <r>
    <d v="2023-10-25T00:00:00"/>
    <x v="52"/>
    <s v="Smart TV OLED LG 65&quot;"/>
    <n v="2"/>
    <n v="1200000"/>
    <x v="49"/>
    <x v="53"/>
    <s v="Hector Silva"/>
    <x v="3"/>
    <x v="2"/>
    <x v="1"/>
    <s v="Electronicos"/>
    <n v="900000"/>
    <m/>
  </r>
  <r>
    <d v="2023-10-26T00:00:00"/>
    <x v="53"/>
    <s v="Consola Xbox Series X"/>
    <n v="3"/>
    <n v="410000"/>
    <x v="50"/>
    <x v="54"/>
    <s v="Elena Torres"/>
    <x v="4"/>
    <x v="4"/>
    <x v="0"/>
    <s v="Electronicos"/>
    <n v="32000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d v="2023-09-02T00:00:00"/>
    <s v="PROD002"/>
    <s v="Smartphone samsung Galaxy"/>
    <x v="0"/>
    <n v="89999"/>
    <n v="269997"/>
    <s v="CLI002"/>
    <s v="Maria Garcia"/>
    <s v="Sur"/>
    <s v="Efectivo"/>
    <s v="VEND002"/>
    <s v="Electronicos"/>
    <n v="70000"/>
  </r>
  <r>
    <d v="2023-09-01T00:00:00"/>
    <s v="PROD001"/>
    <s v="Laptop Dell XPS"/>
    <x v="1"/>
    <n v="129999"/>
    <n v="259998"/>
    <s v="CLI001"/>
    <s v="Juan Perez"/>
    <s v="Norte"/>
    <s v="Tarjeta de credito"/>
    <s v="VEND001"/>
    <s v="Electronicos"/>
    <n v="100000"/>
  </r>
  <r>
    <d v="2023-09-03T00:00:00"/>
    <s v="PROD003"/>
    <s v="Zapatilla Nike Air Max"/>
    <x v="2"/>
    <n v="12999"/>
    <n v="64995"/>
    <s v="CLI003"/>
    <s v="Carlos Rodriguez"/>
    <s v="Este"/>
    <s v="Transferencia Bancaria"/>
    <s v="VEND003"/>
    <s v="Ropa y calzado"/>
    <n v="8000"/>
  </r>
  <r>
    <d v="2023-09-05T00:00:00"/>
    <s v="PROD005"/>
    <s v="Libro &quot;Cien anños de soledad"/>
    <x v="3"/>
    <n v="1599"/>
    <n v="15990"/>
    <s v="CLI005"/>
    <s v="Pedro Sanchez"/>
    <s v="Centro"/>
    <s v="Tarjeta de debito"/>
    <s v="VEND002"/>
    <s v="Libros"/>
    <n v="1000"/>
  </r>
  <r>
    <d v="2023-09-04T00:00:00"/>
    <s v="PROD005"/>
    <s v="Licuadora oster"/>
    <x v="4"/>
    <n v="7999"/>
    <n v="7999"/>
    <s v="CLI004"/>
    <s v="Ana Martinez"/>
    <s v="Oeste"/>
    <s v="Paypal"/>
    <s v="VEND001"/>
    <s v="Electrodomesticos"/>
    <n v="5000"/>
  </r>
  <r>
    <d v="2023-09-07T00:00:00"/>
    <s v="PROD006"/>
    <s v="Tablet Samsung Galaxy Tab"/>
    <x v="5"/>
    <n v="45999"/>
    <n v="183996"/>
    <s v="CLI006"/>
    <s v="Luis Fernandez"/>
    <s v="Sur"/>
    <s v="Tarjeta de credito"/>
    <s v="VEND003"/>
    <s v="Electronicos"/>
    <n v="30000"/>
  </r>
  <r>
    <d v="2023-09-08T00:00:00"/>
    <s v="PROD007"/>
    <s v="Audifonos Sony WH-1000XM4"/>
    <x v="6"/>
    <n v="19999"/>
    <n v="119994"/>
    <s v="CLI007"/>
    <s v="Camila Torres"/>
    <s v="Norte"/>
    <s v="Transferencia Bancaria"/>
    <s v="VEND001"/>
    <s v="Electronicos"/>
    <n v="12000"/>
  </r>
  <r>
    <d v="2023-09-09T00:00:00"/>
    <s v="PROD008"/>
    <s v="Silla ergonomica oficina"/>
    <x v="1"/>
    <n v="85500"/>
    <n v="171000"/>
    <s v="CLI008"/>
    <s v="Jorge Ramirez"/>
    <s v="Centro"/>
    <s v="Efectivo"/>
    <s v="VEND002"/>
    <s v="Muebles"/>
    <n v="50000"/>
  </r>
  <r>
    <d v="2023-09-10T00:00:00"/>
    <s v="PROD009"/>
    <s v="Mouse Logitech MX Master"/>
    <x v="2"/>
    <n v="9999"/>
    <n v="49995"/>
    <s v="CLI009"/>
    <s v="Andrea Lopez"/>
    <s v="Este"/>
    <s v="Tarjeta de debito"/>
    <s v="VEND003"/>
    <s v="Accesorios"/>
    <n v="4000"/>
  </r>
  <r>
    <d v="2023-09-11T00:00:00"/>
    <s v="PROD010"/>
    <s v="Monitor LG 27 pulgadas"/>
    <x v="0"/>
    <n v="65999"/>
    <n v="197997"/>
    <s v="CLI010"/>
    <s v="Diego Morales"/>
    <s v="Oeste"/>
    <s v="Paypal"/>
    <s v="VEND001"/>
    <s v="Electronicos"/>
    <n v="40000"/>
  </r>
  <r>
    <d v="2023-09-12T00:00:00"/>
    <s v="PROD011"/>
    <s v="Teclado mecanico Redragon"/>
    <x v="7"/>
    <n v="8500"/>
    <n v="59500"/>
    <s v="CLI011"/>
    <s v="Sofia Herrera"/>
    <s v="Sur"/>
    <s v="Efectivo"/>
    <s v="VEND002"/>
    <s v="Accesorios"/>
    <n v="3500"/>
  </r>
  <r>
    <d v="2023-09-13T00:00:00"/>
    <s v="PROD012"/>
    <s v="Cafetera Oster 12 tazas"/>
    <x v="1"/>
    <n v="22999"/>
    <n v="45998"/>
    <s v="CLI012"/>
    <s v="Miguel Castro"/>
    <s v="Norte"/>
    <s v="Tarjeta de credito"/>
    <s v="VEND003"/>
    <s v="Electrodomesticos"/>
    <n v="15000"/>
  </r>
  <r>
    <d v="2023-09-14T00:00:00"/>
    <s v="PROD013"/>
    <s v="Smartwatch Xiaomi Band 8"/>
    <x v="8"/>
    <n v="6999"/>
    <n v="55992"/>
    <s v="CLI013"/>
    <s v="Valeria Rojas"/>
    <s v="Este"/>
    <s v="Transferencia Bancaria"/>
    <s v="VEND001"/>
    <s v="Electronicos"/>
    <n v="2500"/>
  </r>
  <r>
    <d v="2023-09-15T00:00:00"/>
    <s v="PROD014"/>
    <s v="Mochila escolar Adidas"/>
    <x v="5"/>
    <n v="14500"/>
    <n v="58000"/>
    <s v="CLI014"/>
    <s v="Ricardo Vega"/>
    <s v="Centro"/>
    <s v="Tarjeta de debito"/>
    <s v="VEND002"/>
    <s v="Ropa y calzado"/>
    <n v="7000"/>
  </r>
  <r>
    <d v="2023-09-16T00:00:00"/>
    <s v="PROD015"/>
    <s v="Impresora HP DeskJet"/>
    <x v="4"/>
    <n v="54999"/>
    <n v="54999"/>
    <s v="CLI015"/>
    <s v="Elena Navarro"/>
    <s v="Oeste"/>
    <s v="Paypal"/>
    <s v="VEND003"/>
    <s v="Electronicos"/>
    <n v="35000"/>
  </r>
  <r>
    <d v="2023-09-17T00:00:00"/>
    <s v="PROD016"/>
    <s v="Camara Canon EOS M50"/>
    <x v="1"/>
    <n v="89500"/>
    <n v="179000"/>
    <s v="CLI016"/>
    <s v="Pablo Gutierrez"/>
    <s v="Sur"/>
    <s v="Tarjeta de credito"/>
    <s v="VEND001"/>
    <s v="Electronicos"/>
    <n v="60000"/>
  </r>
  <r>
    <d v="2023-09-18T00:00:00"/>
    <s v="PROD017"/>
    <s v="Altavoz JBL Charge 5"/>
    <x v="0"/>
    <n v="24999"/>
    <n v="74997"/>
    <s v="CLI017"/>
    <s v="Laura Medina"/>
    <s v="Norte"/>
    <s v="Efectivo"/>
    <s v="VEND002"/>
    <s v="Electronicos"/>
    <n v="15000"/>
  </r>
  <r>
    <d v="2023-09-19T00:00:00"/>
    <s v="PROD018"/>
    <s v="Mesa de escritorio madera"/>
    <x v="4"/>
    <n v="120000"/>
    <n v="120000"/>
    <s v="CLI018"/>
    <s v="Raul Paredes"/>
    <s v="Centro"/>
    <s v="Transferencia Bancaria"/>
    <s v="VEND003"/>
    <s v="Muebles"/>
    <n v="80000"/>
  </r>
  <r>
    <d v="2023-09-20T00:00:00"/>
    <s v="PROD019"/>
    <s v="Zapatillas Adidas Runfalcon"/>
    <x v="5"/>
    <n v="18999"/>
    <n v="75996"/>
    <s v="CLI019"/>
    <s v="Daniela Soto"/>
    <s v="Este"/>
    <s v="Tarjeta de debito"/>
    <s v="VEND002"/>
    <s v="Ropa y calzado"/>
    <n v="9000"/>
  </r>
  <r>
    <d v="2023-09-21T00:00:00"/>
    <s v="PROD020"/>
    <s v="Horno microondas Samsung"/>
    <x v="1"/>
    <n v="55000"/>
    <n v="110000"/>
    <s v="CLI020"/>
    <s v="Cesar Vargas"/>
    <s v="Oeste"/>
    <s v="Paypal"/>
    <s v="VEND001"/>
    <s v="Electrodomesticos"/>
    <n v="35000"/>
  </r>
  <r>
    <d v="2023-09-22T00:00:00"/>
    <s v="PROD021"/>
    <s v="Disco duro externo 1TB"/>
    <x v="2"/>
    <n v="12500"/>
    <n v="62500"/>
    <s v="CLI021"/>
    <s v="Mariana Ruiz"/>
    <s v="Sur"/>
    <s v="Tarjeta de credito"/>
    <s v="VEND003"/>
    <s v="Electronicos"/>
    <n v="6000"/>
  </r>
  <r>
    <d v="2023-09-23T00:00:00"/>
    <s v="PROD022"/>
    <s v="Lampara LED escritorio"/>
    <x v="6"/>
    <n v="4999"/>
    <n v="29994"/>
    <s v="CLI022"/>
    <s v="Julio Campos"/>
    <s v="Norte"/>
    <s v="Efectivo"/>
    <s v="VEND002"/>
    <s v="Iluminacion"/>
    <n v="2000"/>
  </r>
  <r>
    <d v="2023-09-24T00:00:00"/>
    <s v="PROD023"/>
    <s v="Tablet Lenovo Tab M10"/>
    <x v="0"/>
    <n v="39999"/>
    <n v="119997"/>
    <s v="CLI023"/>
    <s v="Paola Rios"/>
    <s v="Centro"/>
    <s v="Transferencia Bancaria"/>
    <s v="VEND001"/>
    <s v="Electronicos"/>
    <n v="25000"/>
  </r>
  <r>
    <d v="2023-09-25T00:00:00"/>
    <s v="PROD024"/>
    <s v="Aspiradora Philips PowerPro"/>
    <x v="4"/>
    <n v="95000"/>
    <n v="95000"/>
    <s v="CLI024"/>
    <s v="Fernando Luna"/>
    <s v="Oeste"/>
    <s v="Tarjeta de debito"/>
    <s v="VEND003"/>
    <s v="Electrodomesticos"/>
    <n v="60000"/>
  </r>
  <r>
    <d v="2023-09-26T00:00:00"/>
    <s v="PROD025"/>
    <s v="Silla gamer Cougar"/>
    <x v="1"/>
    <n v="150000"/>
    <n v="300000"/>
    <s v="CLI025"/>
    <s v="Kevin Salazar"/>
    <s v="Este"/>
    <s v="Paypal"/>
    <s v="VEND002"/>
    <s v="Muebles"/>
    <n v="100000"/>
  </r>
  <r>
    <d v="2023-09-27T00:00:00"/>
    <s v="PROD026"/>
    <s v="Reloj Casio digital"/>
    <x v="7"/>
    <n v="3999"/>
    <n v="27993"/>
    <s v="CLI026"/>
    <s v="Natalia Vega"/>
    <s v="Sur"/>
    <s v="Efectivo"/>
    <s v="VEND001"/>
    <s v="Accesorios"/>
    <n v="1500"/>
  </r>
  <r>
    <d v="2023-09-28T00:00:00"/>
    <s v="PROD027"/>
    <s v="Bicicleta urbana Trek"/>
    <x v="4"/>
    <n v="450000"/>
    <n v="450000"/>
    <s v="CLI027"/>
    <s v="Andres Molina"/>
    <s v="Norte"/>
    <s v="Transferencia Bancaria"/>
    <s v="VEND003"/>
    <s v="Deportes"/>
    <n v="320000"/>
  </r>
  <r>
    <d v="2023-09-29T00:00:00"/>
    <s v="PROD028"/>
    <s v="Router TP-Link AX3000"/>
    <x v="5"/>
    <n v="28500"/>
    <n v="114000"/>
    <s v="CLI028"/>
    <s v="Gabriela Peña"/>
    <s v="Centro"/>
    <s v="Tarjeta de credito"/>
    <s v="VEND002"/>
    <s v="Electronicos"/>
    <n v="18000"/>
  </r>
  <r>
    <d v="2023-09-30T00:00:00"/>
    <s v="PROD029"/>
    <s v="Celular Xiaomi Redmi Note"/>
    <x v="0"/>
    <n v="79999"/>
    <n v="239997"/>
    <s v="CLI029"/>
    <s v="Hector Fuentes"/>
    <s v="Este"/>
    <s v="Tarjeta de debito"/>
    <s v="VEND001"/>
    <s v="Electronicos"/>
    <n v="50000"/>
  </r>
  <r>
    <d v="2023-10-01T00:00:00"/>
    <s v="PROD030"/>
    <s v="Batidora Oster 6 velocidades"/>
    <x v="1"/>
    <n v="34999"/>
    <n v="69998"/>
    <s v="CLI030"/>
    <s v="Lucia Cabrera"/>
    <s v="Oeste"/>
    <s v="Paypal"/>
    <s v="VEND003"/>
    <s v="Electrodomesticos"/>
    <n v="20000"/>
  </r>
  <r>
    <d v="2023-10-02T00:00:00"/>
    <s v="PROD031"/>
    <s v="Impresora Epson EcoTank"/>
    <x v="4"/>
    <n v="110000"/>
    <n v="110000"/>
    <s v="CLI031"/>
    <s v="Martin Rojas"/>
    <s v="Sur"/>
    <s v="Tarjeta de credito"/>
    <s v="VEND002"/>
    <s v="Electronicos"/>
    <n v="75000"/>
  </r>
  <r>
    <d v="2023-10-03T00:00:00"/>
    <s v="PROD032"/>
    <s v="Auriculares Bluetooth JBL"/>
    <x v="2"/>
    <n v="9500"/>
    <n v="47500"/>
    <s v="CLI032"/>
    <s v="Carla Navarro"/>
    <s v="Norte"/>
    <s v="Efectivo"/>
    <s v="VEND001"/>
    <s v="Electronicos"/>
    <n v="4000"/>
  </r>
  <r>
    <d v="2023-10-04T00:00:00"/>
    <s v="PROD033"/>
    <s v="Mochila Nike deportiva"/>
    <x v="6"/>
    <n v="16999"/>
    <n v="101994"/>
    <s v="CLI033"/>
    <s v="Sergio Acosta"/>
    <s v="Centro"/>
    <s v="Transferencia Bancaria"/>
    <s v="VEND003"/>
    <s v="Ropa y calzado"/>
    <n v="8000"/>
  </r>
  <r>
    <d v="2023-10-05T00:00:00"/>
    <s v="PROD034"/>
    <s v="Ventilador Torre Taurus"/>
    <x v="1"/>
    <n v="42000"/>
    <n v="84000"/>
    <s v="CLI034"/>
    <s v="Ana Beltran"/>
    <s v="Oeste"/>
    <s v="Tarjeta de debito"/>
    <s v="VEND002"/>
    <s v="Electrodomesticos"/>
    <n v="25000"/>
  </r>
  <r>
    <d v="2023-10-06T00:00:00"/>
    <s v="PROD035"/>
    <s v="Smart TV LG 50 pulgadas"/>
    <x v="4"/>
    <n v="320000"/>
    <n v="320000"/>
    <s v="CLI035"/>
    <s v="David Herrera"/>
    <s v="Este"/>
    <s v="Paypal"/>
    <s v="VEND001"/>
    <s v="Electronicos"/>
    <n v="250000"/>
  </r>
  <r>
    <d v="2023-10-07T00:00:00"/>
    <s v="PROD036"/>
    <s v="Laptop HP Pavilion"/>
    <x v="0"/>
    <n v="150000"/>
    <n v="450000"/>
    <s v="CLI036"/>
    <s v="Alberto Cruz"/>
    <s v="Norte"/>
    <s v="Tarjeta de credito"/>
    <s v="VEND001"/>
    <s v="Electronicos"/>
    <n v="110000"/>
  </r>
  <r>
    <d v="2023-10-08T00:00:00"/>
    <s v="PROD037"/>
    <s v="iPhone 14"/>
    <x v="1"/>
    <n v="320000"/>
    <n v="640000"/>
    <s v="CLI037"/>
    <s v="Monica Reyes"/>
    <s v="Sur"/>
    <s v="Efectivo"/>
    <s v="VEND002"/>
    <s v="Electronicos"/>
    <n v="250000"/>
  </r>
  <r>
    <d v="2023-10-09T00:00:00"/>
    <s v="PROD038"/>
    <s v="Smart TV Samsung 55&quot;"/>
    <x v="5"/>
    <n v="280000"/>
    <n v="1120000"/>
    <s v="CLI038"/>
    <s v="Javier Molina"/>
    <s v="Este"/>
    <s v="Transferencia Bancaria"/>
    <s v="VEND003"/>
    <s v="Electronicos"/>
    <n v="200000"/>
  </r>
  <r>
    <d v="2023-10-10T00:00:00"/>
    <s v="PROD039"/>
    <s v="Refrigeradora LG"/>
    <x v="1"/>
    <n v="450000"/>
    <n v="900000"/>
    <s v="CLI039"/>
    <s v="Patricia Gomez"/>
    <s v="Centro"/>
    <s v="Tarjeta de debito"/>
    <s v="VEND001"/>
    <s v="Electrodomesticos"/>
    <n v="320000"/>
  </r>
  <r>
    <d v="2023-10-11T00:00:00"/>
    <s v="PROD040"/>
    <s v="PlayStation 5"/>
    <x v="0"/>
    <n v="390000"/>
    <n v="1170000"/>
    <s v="CLI040"/>
    <s v="Carlos Vega"/>
    <s v="Oeste"/>
    <s v="Paypal"/>
    <s v="VEND002"/>
    <s v="Electronicos"/>
    <n v="300000"/>
  </r>
  <r>
    <d v="2023-10-12T00:00:00"/>
    <s v="PROD041"/>
    <s v="Lavadora Samsung 18kg"/>
    <x v="1"/>
    <n v="520000"/>
    <n v="1040000"/>
    <s v="CLI041"/>
    <s v="Luisa Herrera"/>
    <s v="Sur"/>
    <s v="Tarjeta de credito"/>
    <s v="VEND003"/>
    <s v="Electrodomesticos"/>
    <n v="380000"/>
  </r>
  <r>
    <d v="2023-10-13T00:00:00"/>
    <s v="PROD042"/>
    <s v="Monitor Gamer ASUS 27&quot;"/>
    <x v="2"/>
    <n v="180000"/>
    <n v="900000"/>
    <s v="CLI042"/>
    <s v="Rodrigo Salas"/>
    <s v="Norte"/>
    <s v="Efectivo"/>
    <s v="VEND001"/>
    <s v="Electronicos"/>
    <n v="120000"/>
  </r>
  <r>
    <d v="2023-10-14T00:00:00"/>
    <s v="PROD043"/>
    <s v="Silla Gamer Pro"/>
    <x v="6"/>
    <n v="95000"/>
    <n v="570000"/>
    <s v="CLI043"/>
    <s v="Diana Castro"/>
    <s v="Este"/>
    <s v="Tarjeta de debito"/>
    <s v="VEND002"/>
    <s v="Muebles"/>
    <n v="60000"/>
  </r>
  <r>
    <d v="2023-10-15T00:00:00"/>
    <s v="PROD044"/>
    <s v="Tableta iPad Air"/>
    <x v="5"/>
    <n v="250000"/>
    <n v="1000000"/>
    <s v="CLI044"/>
    <s v="Felipe Torres"/>
    <s v="Centro"/>
    <s v="Transferencia Bancaria"/>
    <s v="VEND003"/>
    <s v="Electronicos"/>
    <n v="180000"/>
  </r>
  <r>
    <d v="2023-10-16T00:00:00"/>
    <s v="PROD045"/>
    <s v="Aire Acondicionado LG"/>
    <x v="1"/>
    <n v="600000"/>
    <n v="1200000"/>
    <s v="CLI045"/>
    <s v="Maria Lopez"/>
    <s v="Oeste"/>
    <s v="Paypal"/>
    <s v="VEND001"/>
    <s v="Electrodomesticos"/>
    <n v="450000"/>
  </r>
  <r>
    <d v="2023-10-17T00:00:00"/>
    <s v="PROD046"/>
    <s v="PC Gamer RTX"/>
    <x v="4"/>
    <n v="1500000"/>
    <n v="1500000"/>
    <s v="CLI046"/>
    <s v="Andres Rios"/>
    <s v="Sur"/>
    <s v="Tarjeta de credito"/>
    <s v="VEND002"/>
    <s v="Electronicos"/>
    <n v="1200000"/>
  </r>
  <r>
    <d v="2023-10-18T00:00:00"/>
    <s v="PROD047"/>
    <s v="MacBook Pro 14&quot;"/>
    <x v="1"/>
    <n v="980000"/>
    <n v="1960000"/>
    <s v="CLI047"/>
    <s v="Sofia Martinez"/>
    <s v="Norte"/>
    <s v="Efectivo"/>
    <s v="VEND003"/>
    <s v="Electronicos"/>
    <n v="800000"/>
  </r>
  <r>
    <d v="2023-10-19T00:00:00"/>
    <s v="PROD048"/>
    <s v="Camara Sony Alpha"/>
    <x v="0"/>
    <n v="420000"/>
    <n v="1260000"/>
    <s v="CLI048"/>
    <s v="Jose Ramirez"/>
    <s v="Este"/>
    <s v="Tarjeta de debito"/>
    <s v="VEND001"/>
    <s v="Electronicos"/>
    <n v="300000"/>
  </r>
  <r>
    <d v="2023-10-20T00:00:00"/>
    <s v="PROD049"/>
    <s v="Bicicleta Electrica"/>
    <x v="1"/>
    <n v="750000"/>
    <n v="1500000"/>
    <s v="CLI049"/>
    <s v="Camila Duarte"/>
    <s v="Centro"/>
    <s v="Transferencia Bancaria"/>
    <s v="VEND002"/>
    <s v="Deportes"/>
    <n v="520000"/>
  </r>
  <r>
    <d v="2023-10-21T00:00:00"/>
    <s v="PROD050"/>
    <s v="Proyector Epson HD"/>
    <x v="5"/>
    <n v="210000"/>
    <n v="840000"/>
    <s v="CLI050"/>
    <s v="Diego Navarro"/>
    <s v="Oeste"/>
    <s v="Paypal"/>
    <s v="VEND003"/>
    <s v="Electronicos"/>
    <n v="150000"/>
  </r>
  <r>
    <d v="2023-10-22T00:00:00"/>
    <s v="PROD051"/>
    <s v="Horno Industrial"/>
    <x v="4"/>
    <n v="890000"/>
    <n v="890000"/>
    <s v="CLI051"/>
    <s v="Raul Mendoza"/>
    <s v="Sur"/>
    <s v="Tarjeta de credito"/>
    <s v="VEND001"/>
    <s v="Electrodomesticos"/>
    <n v="650000"/>
  </r>
  <r>
    <d v="2023-10-23T00:00:00"/>
    <s v="PROD052"/>
    <s v="Servidor NAS Synology"/>
    <x v="1"/>
    <n v="670000"/>
    <n v="1340000"/>
    <s v="CLI052"/>
    <s v="Gabriel Ponce"/>
    <s v="Norte"/>
    <s v="Efectivo"/>
    <s v="VEND002"/>
    <s v="Tecnologia"/>
    <n v="500000"/>
  </r>
  <r>
    <d v="2023-10-24T00:00:00"/>
    <s v="PROD053"/>
    <s v="Drone DJI Mini 3"/>
    <x v="0"/>
    <n v="350000"/>
    <n v="1050000"/>
    <s v="CLI053"/>
    <s v="Valeria Ruiz"/>
    <s v="Este"/>
    <s v="Tarjeta de debito"/>
    <s v="VEND003"/>
    <s v="Electronicos"/>
    <n v="250000"/>
  </r>
  <r>
    <d v="2023-10-25T00:00:00"/>
    <s v="PROD054"/>
    <s v="Smart TV OLED LG 65&quot;"/>
    <x v="1"/>
    <n v="1200000"/>
    <n v="2400000"/>
    <s v="CLI054"/>
    <s v="Hector Silva"/>
    <s v="Centro"/>
    <s v="Transferencia Bancaria"/>
    <s v="VEND001"/>
    <s v="Electronicos"/>
    <n v="900000"/>
  </r>
  <r>
    <d v="2023-10-26T00:00:00"/>
    <s v="PROD055"/>
    <s v="Consola Xbox Series X"/>
    <x v="0"/>
    <n v="410000"/>
    <n v="1230000"/>
    <s v="CLI055"/>
    <s v="Elena Torres"/>
    <s v="Oeste"/>
    <s v="Paypal"/>
    <s v="VEND002"/>
    <s v="Electronicos"/>
    <n v="32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d v="2023-09-02T00:00:00"/>
    <x v="0"/>
    <s v="Smartphone samsung Galaxy"/>
    <n v="3"/>
    <n v="89999"/>
    <n v="269997"/>
    <s v="CLI002"/>
    <s v="Maria Garcia"/>
    <x v="0"/>
    <s v="Efectivo"/>
    <s v="VEND002"/>
    <s v="Electronicos"/>
    <n v="70000"/>
    <m/>
  </r>
  <r>
    <d v="2023-09-01T00:00:00"/>
    <x v="1"/>
    <s v="Laptop Dell XPS"/>
    <n v="2"/>
    <n v="129999"/>
    <n v="259998"/>
    <s v="CLI001"/>
    <s v="Juan Perez"/>
    <x v="1"/>
    <s v="Tarjeta de credito"/>
    <s v="VEND001"/>
    <s v="Electronicos"/>
    <n v="100000"/>
    <m/>
  </r>
  <r>
    <d v="2023-09-03T00:00:00"/>
    <x v="2"/>
    <s v="Zapatilla Nike Air Max"/>
    <n v="5"/>
    <n v="12999"/>
    <n v="64995"/>
    <s v="CLI003"/>
    <s v="Carlos Rodriguez"/>
    <x v="2"/>
    <s v="Transferencia Bancaria"/>
    <s v="VEND003"/>
    <s v="Ropa y calzado"/>
    <n v="8000"/>
    <m/>
  </r>
  <r>
    <d v="2023-09-05T00:00:00"/>
    <x v="3"/>
    <s v="Libro &quot;Cien anños de soledad"/>
    <n v="10"/>
    <n v="1599"/>
    <n v="15990"/>
    <s v="CLI005"/>
    <s v="Pedro Sanchez"/>
    <x v="3"/>
    <s v="Tarjeta de debito"/>
    <s v="VEND002"/>
    <s v="Libros"/>
    <n v="1000"/>
    <m/>
  </r>
  <r>
    <d v="2023-09-04T00:00:00"/>
    <x v="3"/>
    <s v="Licuadora oster"/>
    <n v="1"/>
    <n v="7999"/>
    <n v="7999"/>
    <s v="CLI004"/>
    <s v="Ana Martinez"/>
    <x v="4"/>
    <s v="Paypal"/>
    <s v="VEND001"/>
    <s v="Electrodomesticos"/>
    <n v="5000"/>
    <m/>
  </r>
  <r>
    <d v="2023-09-07T00:00:00"/>
    <x v="4"/>
    <s v="Tablet Samsung Galaxy Tab"/>
    <n v="4"/>
    <n v="45999"/>
    <n v="183996"/>
    <s v="CLI006"/>
    <s v="Luis Fernandez"/>
    <x v="0"/>
    <s v="Tarjeta de credito"/>
    <s v="VEND003"/>
    <s v="Electronicos"/>
    <n v="30000"/>
    <m/>
  </r>
  <r>
    <d v="2023-09-08T00:00:00"/>
    <x v="5"/>
    <s v="Audifonos Sony WH-1000XM4"/>
    <n v="6"/>
    <n v="19999"/>
    <n v="119994"/>
    <s v="CLI007"/>
    <s v="Camila Torres"/>
    <x v="1"/>
    <s v="Transferencia Bancaria"/>
    <s v="VEND001"/>
    <s v="Electronicos"/>
    <n v="12000"/>
    <m/>
  </r>
  <r>
    <d v="2023-09-09T00:00:00"/>
    <x v="6"/>
    <s v="Silla ergonomica oficina"/>
    <n v="2"/>
    <n v="85500"/>
    <n v="171000"/>
    <s v="CLI008"/>
    <s v="Jorge Ramirez"/>
    <x v="3"/>
    <s v="Efectivo"/>
    <s v="VEND002"/>
    <s v="Muebles"/>
    <n v="50000"/>
    <m/>
  </r>
  <r>
    <d v="2023-09-10T00:00:00"/>
    <x v="7"/>
    <s v="Mouse Logitech MX Master"/>
    <n v="5"/>
    <n v="9999"/>
    <n v="49995"/>
    <s v="CLI009"/>
    <s v="Andrea Lopez"/>
    <x v="2"/>
    <s v="Tarjeta de debito"/>
    <s v="VEND003"/>
    <s v="Accesorios"/>
    <n v="4000"/>
    <m/>
  </r>
  <r>
    <d v="2023-09-11T00:00:00"/>
    <x v="8"/>
    <s v="Monitor LG 27 pulgadas"/>
    <n v="3"/>
    <n v="65999"/>
    <n v="197997"/>
    <s v="CLI010"/>
    <s v="Diego Morales"/>
    <x v="4"/>
    <s v="Paypal"/>
    <s v="VEND001"/>
    <s v="Electronicos"/>
    <n v="40000"/>
    <m/>
  </r>
  <r>
    <d v="2023-09-12T00:00:00"/>
    <x v="9"/>
    <s v="Teclado mecanico Redragon"/>
    <n v="7"/>
    <n v="8500"/>
    <n v="59500"/>
    <s v="CLI011"/>
    <s v="Sofia Herrera"/>
    <x v="0"/>
    <s v="Efectivo"/>
    <s v="VEND002"/>
    <s v="Accesorios"/>
    <n v="3500"/>
    <m/>
  </r>
  <r>
    <d v="2023-09-13T00:00:00"/>
    <x v="10"/>
    <s v="Cafetera Oster 12 tazas"/>
    <n v="2"/>
    <n v="22999"/>
    <n v="45998"/>
    <s v="CLI012"/>
    <s v="Miguel Castro"/>
    <x v="1"/>
    <s v="Tarjeta de credito"/>
    <s v="VEND003"/>
    <s v="Electrodomesticos"/>
    <n v="15000"/>
    <m/>
  </r>
  <r>
    <d v="2023-09-14T00:00:00"/>
    <x v="11"/>
    <s v="Smartwatch Xiaomi Band 8"/>
    <n v="8"/>
    <n v="6999"/>
    <n v="55992"/>
    <s v="CLI013"/>
    <s v="Valeria Rojas"/>
    <x v="2"/>
    <s v="Transferencia Bancaria"/>
    <s v="VEND001"/>
    <s v="Electronicos"/>
    <n v="2500"/>
    <m/>
  </r>
  <r>
    <d v="2023-09-15T00:00:00"/>
    <x v="12"/>
    <s v="Mochila escolar Adidas"/>
    <n v="4"/>
    <n v="14500"/>
    <n v="58000"/>
    <s v="CLI014"/>
    <s v="Ricardo Vega"/>
    <x v="3"/>
    <s v="Tarjeta de debito"/>
    <s v="VEND002"/>
    <s v="Ropa y calzado"/>
    <n v="7000"/>
    <m/>
  </r>
  <r>
    <d v="2023-09-16T00:00:00"/>
    <x v="13"/>
    <s v="Impresora HP DeskJet"/>
    <n v="1"/>
    <n v="54999"/>
    <n v="54999"/>
    <s v="CLI015"/>
    <s v="Elena Navarro"/>
    <x v="4"/>
    <s v="Paypal"/>
    <s v="VEND003"/>
    <s v="Electronicos"/>
    <n v="35000"/>
    <m/>
  </r>
  <r>
    <d v="2023-09-17T00:00:00"/>
    <x v="14"/>
    <s v="Camara Canon EOS M50"/>
    <n v="2"/>
    <n v="89500"/>
    <n v="179000"/>
    <s v="CLI016"/>
    <s v="Pablo Gutierrez"/>
    <x v="0"/>
    <s v="Tarjeta de credito"/>
    <s v="VEND001"/>
    <s v="Electronicos"/>
    <n v="60000"/>
    <m/>
  </r>
  <r>
    <d v="2023-09-18T00:00:00"/>
    <x v="15"/>
    <s v="Altavoz JBL Charge 5"/>
    <n v="3"/>
    <n v="24999"/>
    <n v="74997"/>
    <s v="CLI017"/>
    <s v="Laura Medina"/>
    <x v="1"/>
    <s v="Efectivo"/>
    <s v="VEND002"/>
    <s v="Electronicos"/>
    <n v="15000"/>
    <m/>
  </r>
  <r>
    <d v="2023-09-19T00:00:00"/>
    <x v="16"/>
    <s v="Mesa de escritorio madera"/>
    <n v="1"/>
    <n v="120000"/>
    <n v="120000"/>
    <s v="CLI018"/>
    <s v="Raul Paredes"/>
    <x v="3"/>
    <s v="Transferencia Bancaria"/>
    <s v="VEND003"/>
    <s v="Muebles"/>
    <n v="80000"/>
    <m/>
  </r>
  <r>
    <d v="2023-09-20T00:00:00"/>
    <x v="17"/>
    <s v="Zapatillas Adidas Runfalcon"/>
    <n v="4"/>
    <n v="18999"/>
    <n v="75996"/>
    <s v="CLI019"/>
    <s v="Daniela Soto"/>
    <x v="2"/>
    <s v="Tarjeta de debito"/>
    <s v="VEND002"/>
    <s v="Ropa y calzado"/>
    <n v="9000"/>
    <m/>
  </r>
  <r>
    <d v="2023-09-21T00:00:00"/>
    <x v="18"/>
    <s v="Horno microondas Samsung"/>
    <n v="2"/>
    <n v="55000"/>
    <n v="110000"/>
    <s v="CLI020"/>
    <s v="Cesar Vargas"/>
    <x v="4"/>
    <s v="Paypal"/>
    <s v="VEND001"/>
    <s v="Electrodomesticos"/>
    <n v="35000"/>
    <m/>
  </r>
  <r>
    <d v="2023-09-22T00:00:00"/>
    <x v="19"/>
    <s v="Disco duro externo 1TB"/>
    <n v="5"/>
    <n v="12500"/>
    <n v="62500"/>
    <s v="CLI021"/>
    <s v="Mariana Ruiz"/>
    <x v="0"/>
    <s v="Tarjeta de credito"/>
    <s v="VEND003"/>
    <s v="Electronicos"/>
    <n v="6000"/>
    <m/>
  </r>
  <r>
    <d v="2023-09-23T00:00:00"/>
    <x v="20"/>
    <s v="Lampara LED escritorio"/>
    <n v="6"/>
    <n v="4999"/>
    <n v="29994"/>
    <s v="CLI022"/>
    <s v="Julio Campos"/>
    <x v="1"/>
    <s v="Efectivo"/>
    <s v="VEND002"/>
    <s v="Iluminacion"/>
    <n v="2000"/>
    <m/>
  </r>
  <r>
    <d v="2023-09-24T00:00:00"/>
    <x v="21"/>
    <s v="Tablet Lenovo Tab M10"/>
    <n v="3"/>
    <n v="39999"/>
    <n v="119997"/>
    <s v="CLI023"/>
    <s v="Paola Rios"/>
    <x v="3"/>
    <s v="Transferencia Bancaria"/>
    <s v="VEND001"/>
    <s v="Electronicos"/>
    <n v="25000"/>
    <m/>
  </r>
  <r>
    <d v="2023-09-25T00:00:00"/>
    <x v="22"/>
    <s v="Aspiradora Philips PowerPro"/>
    <n v="1"/>
    <n v="95000"/>
    <n v="95000"/>
    <s v="CLI024"/>
    <s v="Fernando Luna"/>
    <x v="4"/>
    <s v="Tarjeta de debito"/>
    <s v="VEND003"/>
    <s v="Electrodomesticos"/>
    <n v="60000"/>
    <m/>
  </r>
  <r>
    <d v="2023-09-26T00:00:00"/>
    <x v="23"/>
    <s v="Silla gamer Cougar"/>
    <n v="2"/>
    <n v="150000"/>
    <n v="300000"/>
    <s v="CLI025"/>
    <s v="Kevin Salazar"/>
    <x v="2"/>
    <s v="Paypal"/>
    <s v="VEND002"/>
    <s v="Muebles"/>
    <n v="100000"/>
    <m/>
  </r>
  <r>
    <d v="2023-09-27T00:00:00"/>
    <x v="24"/>
    <s v="Reloj Casio digital"/>
    <n v="7"/>
    <n v="3999"/>
    <n v="27993"/>
    <s v="CLI026"/>
    <s v="Natalia Vega"/>
    <x v="0"/>
    <s v="Efectivo"/>
    <s v="VEND001"/>
    <s v="Accesorios"/>
    <n v="1500"/>
    <m/>
  </r>
  <r>
    <d v="2023-09-28T00:00:00"/>
    <x v="25"/>
    <s v="Bicicleta urbana Trek"/>
    <n v="1"/>
    <n v="450000"/>
    <n v="450000"/>
    <s v="CLI027"/>
    <s v="Andres Molina"/>
    <x v="1"/>
    <s v="Transferencia Bancaria"/>
    <s v="VEND003"/>
    <s v="Deportes"/>
    <n v="320000"/>
    <m/>
  </r>
  <r>
    <d v="2023-09-29T00:00:00"/>
    <x v="26"/>
    <s v="Router TP-Link AX3000"/>
    <n v="4"/>
    <n v="28500"/>
    <n v="114000"/>
    <s v="CLI028"/>
    <s v="Gabriela Peña"/>
    <x v="3"/>
    <s v="Tarjeta de credito"/>
    <s v="VEND002"/>
    <s v="Electronicos"/>
    <n v="18000"/>
    <m/>
  </r>
  <r>
    <d v="2023-09-30T00:00:00"/>
    <x v="27"/>
    <s v="Celular Xiaomi Redmi Note"/>
    <n v="3"/>
    <n v="79999"/>
    <n v="239997"/>
    <s v="CLI029"/>
    <s v="Hector Fuentes"/>
    <x v="2"/>
    <s v="Tarjeta de debito"/>
    <s v="VEND001"/>
    <s v="Electronicos"/>
    <n v="50000"/>
    <m/>
  </r>
  <r>
    <d v="2023-10-01T00:00:00"/>
    <x v="28"/>
    <s v="Batidora Oster 6 velocidades"/>
    <n v="2"/>
    <n v="34999"/>
    <n v="69998"/>
    <s v="CLI030"/>
    <s v="Lucia Cabrera"/>
    <x v="4"/>
    <s v="Paypal"/>
    <s v="VEND003"/>
    <s v="Electrodomesticos"/>
    <n v="20000"/>
    <m/>
  </r>
  <r>
    <d v="2023-10-02T00:00:00"/>
    <x v="29"/>
    <s v="Impresora Epson EcoTank"/>
    <n v="1"/>
    <n v="110000"/>
    <n v="110000"/>
    <s v="CLI031"/>
    <s v="Martin Rojas"/>
    <x v="0"/>
    <s v="Tarjeta de credito"/>
    <s v="VEND002"/>
    <s v="Electronicos"/>
    <n v="75000"/>
    <m/>
  </r>
  <r>
    <d v="2023-10-03T00:00:00"/>
    <x v="30"/>
    <s v="Auriculares Bluetooth JBL"/>
    <n v="5"/>
    <n v="9500"/>
    <n v="47500"/>
    <s v="CLI032"/>
    <s v="Carla Navarro"/>
    <x v="1"/>
    <s v="Efectivo"/>
    <s v="VEND001"/>
    <s v="Electronicos"/>
    <n v="4000"/>
    <m/>
  </r>
  <r>
    <d v="2023-10-04T00:00:00"/>
    <x v="31"/>
    <s v="Mochila Nike deportiva"/>
    <n v="6"/>
    <n v="16999"/>
    <n v="101994"/>
    <s v="CLI033"/>
    <s v="Sergio Acosta"/>
    <x v="3"/>
    <s v="Transferencia Bancaria"/>
    <s v="VEND003"/>
    <s v="Ropa y calzado"/>
    <n v="8000"/>
    <m/>
  </r>
  <r>
    <d v="2023-10-05T00:00:00"/>
    <x v="32"/>
    <s v="Ventilador Torre Taurus"/>
    <n v="2"/>
    <n v="42000"/>
    <n v="84000"/>
    <s v="CLI034"/>
    <s v="Ana Beltran"/>
    <x v="4"/>
    <s v="Tarjeta de debito"/>
    <s v="VEND002"/>
    <s v="Electrodomesticos"/>
    <n v="25000"/>
    <m/>
  </r>
  <r>
    <d v="2023-10-06T00:00:00"/>
    <x v="33"/>
    <s v="Smart TV LG 50 pulgadas"/>
    <n v="1"/>
    <n v="320000"/>
    <n v="320000"/>
    <s v="CLI035"/>
    <s v="David Herrera"/>
    <x v="2"/>
    <s v="Paypal"/>
    <s v="VEND001"/>
    <s v="Electronicos"/>
    <n v="25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3A5243-4E58-EE43-A02D-3E859973884C}" name="TablaDinámica1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rowHeaderCaption="Ubicación">
  <location ref="E87:F93" firstHeaderRow="1" firstDataRow="1" firstDataCol="1"/>
  <pivotFields count="15">
    <pivotField numFmtId="14" showAll="0"/>
    <pivotField showAll="0"/>
    <pivotField showAll="0"/>
    <pivotField showAll="0"/>
    <pivotField numFmtId="164" showAll="0"/>
    <pivotField dataField="1" showAll="0">
      <items count="52">
        <item x="4"/>
        <item x="3"/>
        <item x="25"/>
        <item x="21"/>
        <item x="11"/>
        <item x="30"/>
        <item x="8"/>
        <item x="14"/>
        <item x="12"/>
        <item x="13"/>
        <item x="10"/>
        <item x="20"/>
        <item x="2"/>
        <item x="29"/>
        <item x="16"/>
        <item x="18"/>
        <item x="32"/>
        <item x="23"/>
        <item x="31"/>
        <item x="19"/>
        <item x="27"/>
        <item x="6"/>
        <item x="22"/>
        <item x="17"/>
        <item x="7"/>
        <item x="15"/>
        <item x="5"/>
        <item x="9"/>
        <item x="28"/>
        <item x="1"/>
        <item x="0"/>
        <item x="24"/>
        <item x="33"/>
        <item x="26"/>
        <item x="39"/>
        <item x="34"/>
        <item x="45"/>
        <item x="46"/>
        <item x="36"/>
        <item x="40"/>
        <item x="38"/>
        <item x="48"/>
        <item x="35"/>
        <item x="37"/>
        <item x="41"/>
        <item x="50"/>
        <item x="44"/>
        <item x="47"/>
        <item x="42"/>
        <item x="43"/>
        <item x="49"/>
        <item t="default"/>
      </items>
    </pivotField>
    <pivotField showAll="0"/>
    <pivotField showAll="0"/>
    <pivotField axis="axisRow" showAll="0">
      <items count="6">
        <item x="3"/>
        <item x="2"/>
        <item x="1"/>
        <item x="4"/>
        <item x="0"/>
        <item t="default"/>
      </items>
    </pivotField>
    <pivotField showAll="0">
      <items count="6">
        <item x="0"/>
        <item x="4"/>
        <item x="1"/>
        <item x="3"/>
        <item x="2"/>
        <item t="default"/>
      </items>
    </pivotField>
    <pivotField showAll="0"/>
    <pivotField showAll="0"/>
    <pivotField numFmtId="165" showAll="0"/>
    <pivotField showAll="0"/>
    <pivotField showAll="0" defaultSubtotal="0">
      <items count="3">
        <item x="0"/>
        <item x="1"/>
        <item x="2"/>
      </items>
    </pivotField>
  </pivotFields>
  <rowFields count="1">
    <field x="8"/>
  </rowFields>
  <rowItems count="6">
    <i>
      <x/>
    </i>
    <i>
      <x v="1"/>
    </i>
    <i>
      <x v="2"/>
    </i>
    <i>
      <x v="3"/>
    </i>
    <i>
      <x v="4"/>
    </i>
    <i t="grand">
      <x/>
    </i>
  </rowItems>
  <colItems count="1">
    <i/>
  </colItems>
  <dataFields count="1">
    <dataField name="Suma de Total de venta"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EDCECC-1735-714F-8B5C-FB4C77FA574A}" name="Tabla dinámica1" cacheId="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
  <location ref="A60:C101" firstHeaderRow="1" firstDataRow="1" firstDataCol="2"/>
  <pivotFields count="14">
    <pivotField compact="0" numFmtId="14" outline="0" showAll="0"/>
    <pivotField axis="axisRow" compact="0" outline="0" showAll="0" sortType="descending">
      <items count="35">
        <item x="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pivotField dataField="1" compact="0" outline="0" showAll="0"/>
    <pivotField compact="0" outline="0" showAll="0"/>
    <pivotField compact="0" outline="0" showAll="0"/>
    <pivotField axis="axisRow" compact="0" outline="0" showAll="0">
      <items count="6">
        <item x="3"/>
        <item x="2"/>
        <item x="1"/>
        <item x="4"/>
        <item x="0"/>
        <item t="default"/>
      </items>
    </pivotField>
    <pivotField compact="0" outline="0" showAll="0"/>
    <pivotField compact="0" outline="0" showAll="0"/>
    <pivotField compact="0" outline="0" showAll="0"/>
    <pivotField compact="0" numFmtId="165" outline="0" showAll="0"/>
    <pivotField compact="0" outline="0" showAll="0"/>
  </pivotFields>
  <rowFields count="2">
    <field x="8"/>
    <field x="1"/>
  </rowFields>
  <rowItems count="41">
    <i>
      <x/>
      <x v="6"/>
    </i>
    <i r="1">
      <x v="16"/>
    </i>
    <i r="1">
      <x v="21"/>
    </i>
    <i r="1">
      <x v="26"/>
    </i>
    <i r="1">
      <x v="31"/>
    </i>
    <i r="1">
      <x v="12"/>
    </i>
    <i r="1">
      <x v="3"/>
    </i>
    <i t="default">
      <x/>
    </i>
    <i>
      <x v="1"/>
      <x v="33"/>
    </i>
    <i r="1">
      <x v="23"/>
    </i>
    <i r="1">
      <x v="27"/>
    </i>
    <i r="1">
      <x v="17"/>
    </i>
    <i r="1">
      <x v="2"/>
    </i>
    <i r="1">
      <x v="11"/>
    </i>
    <i r="1">
      <x v="7"/>
    </i>
    <i t="default">
      <x v="1"/>
    </i>
    <i>
      <x v="2"/>
      <x v="25"/>
    </i>
    <i r="1">
      <x/>
    </i>
    <i r="1">
      <x v="5"/>
    </i>
    <i r="1">
      <x v="15"/>
    </i>
    <i r="1">
      <x v="30"/>
    </i>
    <i r="1">
      <x v="10"/>
    </i>
    <i r="1">
      <x v="20"/>
    </i>
    <i t="default">
      <x v="2"/>
    </i>
    <i>
      <x v="3"/>
      <x v="8"/>
    </i>
    <i r="1">
      <x v="18"/>
    </i>
    <i r="1">
      <x v="22"/>
    </i>
    <i r="1">
      <x v="32"/>
    </i>
    <i r="1">
      <x v="28"/>
    </i>
    <i r="1">
      <x v="13"/>
    </i>
    <i r="1">
      <x v="3"/>
    </i>
    <i t="default">
      <x v="3"/>
    </i>
    <i>
      <x v="4"/>
      <x v="1"/>
    </i>
    <i r="1">
      <x v="4"/>
    </i>
    <i r="1">
      <x v="14"/>
    </i>
    <i r="1">
      <x v="29"/>
    </i>
    <i r="1">
      <x v="19"/>
    </i>
    <i r="1">
      <x v="9"/>
    </i>
    <i r="1">
      <x v="24"/>
    </i>
    <i t="default">
      <x v="4"/>
    </i>
    <i t="grand">
      <x/>
    </i>
  </rowItems>
  <colItems count="1">
    <i/>
  </colItems>
  <dataFields count="1">
    <dataField name="Suma de Total de venta"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05B779-F917-A04F-AC3C-157A468C5E76}" name="TablaDinámica6"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rowHeaderCaption="Cantidad Vendida">
  <location ref="H60:I64" firstHeaderRow="1" firstDataRow="1" firstDataCol="1"/>
  <pivotFields count="13">
    <pivotField numFmtId="14" showAll="0"/>
    <pivotField showAll="0"/>
    <pivotField showAll="0"/>
    <pivotField axis="axisRow" showAll="0">
      <items count="6">
        <item x="0"/>
        <item x="1"/>
        <item x="2"/>
        <item x="3"/>
        <item x="4"/>
        <item t="default"/>
      </items>
    </pivotField>
    <pivotField numFmtId="164" showAll="0"/>
    <pivotField dataField="1" showAll="0"/>
    <pivotField showAll="0"/>
    <pivotField showAll="0"/>
    <pivotField showAll="0"/>
    <pivotField showAll="0"/>
    <pivotField showAll="0"/>
    <pivotField showAll="0"/>
    <pivotField numFmtId="165" showAll="0"/>
  </pivotFields>
  <rowFields count="1">
    <field x="3"/>
  </rowFields>
  <rowItems count="4">
    <i>
      <x v="1"/>
    </i>
    <i>
      <x v="2"/>
    </i>
    <i>
      <x v="3"/>
    </i>
    <i t="grand">
      <x/>
    </i>
  </rowItems>
  <colItems count="1">
    <i/>
  </colItems>
  <dataFields count="1">
    <dataField name="Suma de Total de venta"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8CACD0-B325-8148-8D9B-368DEA0E11BC}" name="TablaDiná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rowHeaderCaption="Métodos de Pago">
  <location ref="E60:F69" firstHeaderRow="1" firstDataRow="1" firstDataCol="1"/>
  <pivotFields count="15">
    <pivotField numFmtId="14" showAll="0"/>
    <pivotField showAll="0"/>
    <pivotField showAll="0"/>
    <pivotField showAll="0"/>
    <pivotField numFmtId="164" showAll="0"/>
    <pivotField dataField="1" showAll="0"/>
    <pivotField showAll="0"/>
    <pivotField showAll="0"/>
    <pivotField showAll="0"/>
    <pivotField axis="axisRow" showAll="0">
      <items count="6">
        <item x="0"/>
        <item x="4"/>
        <item x="1"/>
        <item x="3"/>
        <item x="2"/>
        <item t="default"/>
      </items>
    </pivotField>
    <pivotField showAll="0"/>
    <pivotField showAll="0"/>
    <pivotField numFmtId="165" showAll="0"/>
    <pivotField showAll="0"/>
    <pivotField axis="axisRow" showAll="0">
      <items count="4">
        <item x="0"/>
        <item n="Pago por internet" x="1"/>
        <item n="Pagos bancarios" x="2"/>
        <item t="default"/>
      </items>
    </pivotField>
  </pivotFields>
  <rowFields count="2">
    <field x="14"/>
    <field x="9"/>
  </rowFields>
  <rowItems count="9">
    <i>
      <x/>
    </i>
    <i r="1">
      <x/>
    </i>
    <i>
      <x v="1"/>
    </i>
    <i r="1">
      <x v="1"/>
    </i>
    <i>
      <x v="2"/>
    </i>
    <i r="1">
      <x v="2"/>
    </i>
    <i r="1">
      <x v="3"/>
    </i>
    <i r="1">
      <x v="4"/>
    </i>
    <i t="grand">
      <x/>
    </i>
  </rowItems>
  <colItems count="1">
    <i/>
  </colItems>
  <dataFields count="1">
    <dataField name="Suma de Total de venta" fld="5"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todo_de_pago2" xr10:uid="{1284B7DD-625D-2245-B21D-16962541CE44}" sourceName="Metodo de pago2">
  <pivotTables>
    <pivotTable tabId="1" name="TablaDinámica10"/>
  </pivotTables>
  <data>
    <tabular pivotCacheId="83812872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ntidad_vendida" xr10:uid="{AE2EF6EC-2B49-6541-8C04-077F064001C3}" sourceName="Cantidad vendida">
  <pivotTables>
    <pivotTable tabId="1" name="TablaDinámica6"/>
  </pivotTables>
  <data>
    <tabular pivotCacheId="1902650703">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otal_de_venta" xr10:uid="{BFD28614-3AA8-7F4F-8E85-5D757BE8543B}" sourceName="Total de venta">
  <pivotTables>
    <pivotTable tabId="1" name="TablaDinámica11"/>
  </pivotTables>
  <data>
    <tabular pivotCacheId="838128726">
      <items count="51">
        <i x="4" s="1"/>
        <i x="3" s="1"/>
        <i x="25" s="1"/>
        <i x="21" s="1"/>
        <i x="11" s="1"/>
        <i x="30" s="1"/>
        <i x="8" s="1"/>
        <i x="14" s="1"/>
        <i x="12" s="1"/>
        <i x="13" s="1"/>
        <i x="10" s="1"/>
        <i x="20" s="1"/>
        <i x="2" s="1"/>
        <i x="29" s="1"/>
        <i x="16" s="1"/>
        <i x="18" s="1"/>
        <i x="32" s="1"/>
        <i x="23" s="1"/>
        <i x="31" s="1"/>
        <i x="19" s="1"/>
        <i x="27" s="1"/>
        <i x="6" s="1"/>
        <i x="22" s="1"/>
        <i x="17" s="1"/>
        <i x="7" s="1"/>
        <i x="15" s="1"/>
        <i x="5" s="1"/>
        <i x="9" s="1"/>
        <i x="28" s="1"/>
        <i x="1" s="1"/>
        <i x="0" s="1"/>
        <i x="24" s="1"/>
        <i x="33" s="1"/>
        <i x="26" s="1"/>
        <i x="39" s="1"/>
        <i x="34" s="1"/>
        <i x="45" s="1"/>
        <i x="46" s="1"/>
        <i x="36" s="1"/>
        <i x="40" s="1"/>
        <i x="38" s="1"/>
        <i x="48" s="1"/>
        <i x="35" s="1"/>
        <i x="37" s="1"/>
        <i x="41" s="1"/>
        <i x="50" s="1"/>
        <i x="44" s="1"/>
        <i x="47" s="1"/>
        <i x="42" s="1"/>
        <i x="43" s="1"/>
        <i x="4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_o_ubicación1" xr10:uid="{D215439C-0407-1D44-8A49-347E2430C1F0}" sourceName="Region o ubicación">
  <pivotTables>
    <pivotTable tabId="1" name="TablaDinámica11"/>
  </pivotTables>
  <data>
    <tabular pivotCacheId="838128726">
      <items count="5">
        <i x="3" s="1"/>
        <i x="2" s="1"/>
        <i x="1"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_o_ubicación" xr10:uid="{0548B6F1-7159-7147-9B4F-16A174DCE0B0}" sourceName="Region o ubicación">
  <extLst>
    <x:ext xmlns:x15="http://schemas.microsoft.com/office/spreadsheetml/2010/11/main" uri="{2F2917AC-EB37-4324-AD4E-5DD8C200BD13}">
      <x15:tableSlicerCache tableId="1" column="9"/>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todo_de_pago" xr10:uid="{FC785F9D-0979-5644-8C15-9C274AD96524}" sourceName="Metodo de pago">
  <extLst>
    <x:ext xmlns:x15="http://schemas.microsoft.com/office/spreadsheetml/2010/11/main" uri="{2F2917AC-EB37-4324-AD4E-5DD8C200BD13}">
      <x15:tableSlicerCache tableId="1" column="10"/>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_del_producto" xr10:uid="{769CF753-83EE-6344-8B2A-78D055EAF3DB}" sourceName="Categoria del producto">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odo de pago2" xr10:uid="{6A3C5E28-ED4A-6C43-8B4E-2B46967AECF4}" cache="SegmentaciónDeDatos_Metodo_de_pago2" caption="Metodo de pago" rowHeight="251883"/>
  <slicer name="Cantidad vendida" xr10:uid="{C9CBE2A0-51EF-5F4C-A594-476E9AD73BD3}" cache="SegmentaciónDeDatos_Cantidad_vendida" caption="Cantidad vendida" rowHeight="251883"/>
  <slicer name="Total de venta" xr10:uid="{46BBE8BF-EF6E-0347-AB1C-0DDDDE386488}" cache="SegmentaciónDeDatos_Total_de_venta" caption="Total de venta" startItem="24" rowHeight="251883"/>
  <slicer name="Region o ubicación 1" xr10:uid="{46B8F357-C132-954B-9880-8B063BB93913}" cache="SegmentaciónDeDatos_Region_o_ubicación1" caption="Region o ubicació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o ubicación" xr10:uid="{CFCEB497-9A92-584A-8F52-AB56365B2A30}" cache="SegmentaciónDeDatos_Region_o_ubicación" caption="Region o ubicación" columnCount="5" rowHeight="251882"/>
  <slicer name="Metodo de pago" xr10:uid="{C664A9E9-B478-CC4A-82AB-FFC1E8E2EBFB}" cache="SegmentaciónDeDatos_Metodo_de_pago" caption="Metodo de pago" rowHeight="251883"/>
  <slicer name="Categoria del producto" xr10:uid="{E7F0DB02-B90D-C646-B75C-B28F7C9CBD26}" cache="SegmentaciónDeDatos_Categoria_del_producto" caption="Categoria del producto"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B2E9FE-6BB3-1441-AF35-26BA9D6B61FC}" name="Tabla13" displayName="Tabla13" ref="A1:N56" totalsRowShown="0" headerRowDxfId="14" dataDxfId="13">
  <autoFilter ref="A1:N56" xr:uid="{FD0885A7-2FF6-C346-9BBA-06BCDC34A49E}"/>
  <tableColumns count="14">
    <tableColumn id="1" xr3:uid="{072A4CCB-20E0-5041-93BA-2F66CE28B31F}" name="Fecha de venta" dataDxfId="12"/>
    <tableColumn id="2" xr3:uid="{A2EF30CA-CAE1-B849-8547-412B00440C9D}" name="ID  del producto " dataDxfId="11"/>
    <tableColumn id="3" xr3:uid="{7F4C8240-A6EA-9F47-9627-70656C8567B6}" name="Nombre del producto" dataDxfId="10"/>
    <tableColumn id="4" xr3:uid="{E2282CC9-9E69-934B-A1BC-022170ED9C55}" name="Cantidad vendida" dataDxfId="9"/>
    <tableColumn id="5" xr3:uid="{18847F7B-A239-CF46-8B89-5EE086833CBF}" name="Precio unitario" dataDxfId="8"/>
    <tableColumn id="6" xr3:uid="{6C0FCB70-B4A8-CF45-AD33-FCDA3B4E5051}" name="Total de venta" dataDxfId="7"/>
    <tableColumn id="7" xr3:uid="{4DF27CE6-9CB0-7141-B710-D1F777E4BCB3}" name="ID del cliente" dataDxfId="6"/>
    <tableColumn id="8" xr3:uid="{256DC02D-A0F3-CE4F-8EE7-D4BE062CC516}" name="Nombre del cliente" dataDxfId="5"/>
    <tableColumn id="9" xr3:uid="{63A13F1B-4382-264C-9FBB-88BB05F7447F}" name="Region o ubicación" dataDxfId="4"/>
    <tableColumn id="10" xr3:uid="{3C63E02D-E4C3-BD4A-9104-272B6D483E17}" name="Metodo de pago" dataDxfId="3"/>
    <tableColumn id="11" xr3:uid="{FA82A0B2-B38A-9A41-958C-1125B68019A0}" name="Vendedor" dataDxfId="2"/>
    <tableColumn id="12" xr3:uid="{9ACF77A6-BAF8-E346-8796-FA79AEE322D2}" name="Categoria del producto" dataDxfId="1"/>
    <tableColumn id="13" xr3:uid="{92A2CE76-7D3E-FD4D-AB3F-C6B15D07A4F6}" name="Costo del producto"/>
    <tableColumn id="14" xr3:uid="{3951C98E-8CAD-0948-81AC-D3EAE446A22D}" name="Margen de beneficio" dataDxfId="0"/>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1D6C5-0672-3D47-AE1B-C8599073D18C}">
  <sheetPr codeName="Sheet13"/>
  <dimension ref="A1:U104"/>
  <sheetViews>
    <sheetView tabSelected="1" topLeftCell="E7" zoomScale="75" workbookViewId="0">
      <selection activeCell="A2" sqref="A2:N56"/>
    </sheetView>
  </sheetViews>
  <sheetFormatPr baseColWidth="10" defaultRowHeight="16" x14ac:dyDescent="0.2"/>
  <cols>
    <col min="1" max="1" width="15" customWidth="1"/>
    <col min="2" max="2" width="16.1640625" customWidth="1"/>
    <col min="3" max="3" width="23.6640625" customWidth="1"/>
    <col min="4" max="4" width="16.83203125" customWidth="1"/>
    <col min="5" max="5" width="23.6640625" style="14" customWidth="1"/>
    <col min="6" max="6" width="19.83203125" customWidth="1"/>
    <col min="7" max="7" width="13.83203125" customWidth="1"/>
    <col min="8" max="8" width="18.1640625" customWidth="1"/>
    <col min="9" max="9" width="19.83203125" customWidth="1"/>
    <col min="10" max="10" width="15.83203125" customWidth="1"/>
    <col min="11" max="11" width="11.1640625" customWidth="1"/>
    <col min="12" max="12" width="21.33203125" customWidth="1"/>
    <col min="13" max="13" width="20" customWidth="1"/>
    <col min="14" max="14" width="23" customWidth="1"/>
    <col min="15" max="22" width="6.1640625" customWidth="1"/>
    <col min="23" max="31" width="6.1640625" bestFit="1" customWidth="1"/>
    <col min="32" max="52" width="7.1640625" bestFit="1" customWidth="1"/>
    <col min="53" max="64" width="8.1640625" bestFit="1" customWidth="1"/>
    <col min="65" max="65" width="11.6640625" bestFit="1" customWidth="1"/>
  </cols>
  <sheetData>
    <row r="1" spans="1:19" x14ac:dyDescent="0.2">
      <c r="A1" s="1" t="s">
        <v>0</v>
      </c>
      <c r="B1" s="1" t="s">
        <v>1</v>
      </c>
      <c r="C1" s="1" t="s">
        <v>2</v>
      </c>
      <c r="D1" s="1" t="s">
        <v>3</v>
      </c>
      <c r="E1" s="2" t="s">
        <v>4</v>
      </c>
      <c r="F1" s="1" t="s">
        <v>5</v>
      </c>
      <c r="G1" s="1" t="s">
        <v>6</v>
      </c>
      <c r="H1" s="1" t="s">
        <v>7</v>
      </c>
      <c r="I1" s="1" t="s">
        <v>8</v>
      </c>
      <c r="J1" s="1" t="s">
        <v>9</v>
      </c>
      <c r="K1" s="1" t="s">
        <v>10</v>
      </c>
      <c r="L1" s="1" t="s">
        <v>11</v>
      </c>
      <c r="M1" s="1" t="s">
        <v>12</v>
      </c>
      <c r="N1" s="1" t="s">
        <v>13</v>
      </c>
    </row>
    <row r="2" spans="1:19" x14ac:dyDescent="0.2">
      <c r="A2" s="3">
        <v>45171</v>
      </c>
      <c r="B2" s="4" t="s">
        <v>14</v>
      </c>
      <c r="C2" s="4" t="s">
        <v>15</v>
      </c>
      <c r="D2" s="4">
        <v>3</v>
      </c>
      <c r="E2" s="5">
        <v>89999</v>
      </c>
      <c r="F2" s="4">
        <v>269997</v>
      </c>
      <c r="G2" s="4" t="s">
        <v>16</v>
      </c>
      <c r="H2" s="4" t="s">
        <v>17</v>
      </c>
      <c r="I2" s="4" t="s">
        <v>18</v>
      </c>
      <c r="J2" s="4" t="s">
        <v>19</v>
      </c>
      <c r="K2" s="4" t="s">
        <v>20</v>
      </c>
      <c r="L2" s="4" t="s">
        <v>21</v>
      </c>
      <c r="M2" s="6">
        <v>70000</v>
      </c>
      <c r="N2" s="4"/>
    </row>
    <row r="3" spans="1:19" x14ac:dyDescent="0.2">
      <c r="A3" s="7">
        <v>45170</v>
      </c>
      <c r="B3" s="8" t="s">
        <v>22</v>
      </c>
      <c r="C3" s="8" t="s">
        <v>23</v>
      </c>
      <c r="D3" s="8">
        <v>2</v>
      </c>
      <c r="E3" s="9">
        <v>129999</v>
      </c>
      <c r="F3" s="8">
        <v>259998</v>
      </c>
      <c r="G3" s="8" t="s">
        <v>24</v>
      </c>
      <c r="H3" s="8" t="s">
        <v>25</v>
      </c>
      <c r="I3" s="8" t="s">
        <v>26</v>
      </c>
      <c r="J3" s="8" t="s">
        <v>27</v>
      </c>
      <c r="K3" s="8" t="s">
        <v>28</v>
      </c>
      <c r="L3" s="8" t="s">
        <v>21</v>
      </c>
      <c r="M3" s="10">
        <v>100000</v>
      </c>
      <c r="N3" s="8"/>
    </row>
    <row r="4" spans="1:19" x14ac:dyDescent="0.2">
      <c r="A4" s="3">
        <v>45172</v>
      </c>
      <c r="B4" s="4" t="s">
        <v>29</v>
      </c>
      <c r="C4" s="4" t="s">
        <v>30</v>
      </c>
      <c r="D4" s="4">
        <v>5</v>
      </c>
      <c r="E4" s="5">
        <v>12999</v>
      </c>
      <c r="F4" s="4">
        <v>64995</v>
      </c>
      <c r="G4" s="4" t="s">
        <v>31</v>
      </c>
      <c r="H4" s="4" t="s">
        <v>32</v>
      </c>
      <c r="I4" s="4" t="s">
        <v>33</v>
      </c>
      <c r="J4" s="4" t="s">
        <v>34</v>
      </c>
      <c r="K4" s="4" t="s">
        <v>35</v>
      </c>
      <c r="L4" s="4" t="s">
        <v>36</v>
      </c>
      <c r="M4" s="6">
        <v>8000</v>
      </c>
      <c r="N4" s="4"/>
      <c r="R4" t="s">
        <v>37</v>
      </c>
      <c r="S4" t="s">
        <v>38</v>
      </c>
    </row>
    <row r="5" spans="1:19" x14ac:dyDescent="0.2">
      <c r="A5" s="7">
        <v>45174</v>
      </c>
      <c r="B5" s="8" t="s">
        <v>39</v>
      </c>
      <c r="C5" s="8" t="s">
        <v>40</v>
      </c>
      <c r="D5" s="8">
        <v>10</v>
      </c>
      <c r="E5" s="9">
        <v>1599</v>
      </c>
      <c r="F5" s="8">
        <v>15990</v>
      </c>
      <c r="G5" s="8" t="s">
        <v>41</v>
      </c>
      <c r="H5" s="8" t="s">
        <v>42</v>
      </c>
      <c r="I5" s="8" t="s">
        <v>43</v>
      </c>
      <c r="J5" s="8" t="s">
        <v>44</v>
      </c>
      <c r="K5" s="8" t="s">
        <v>20</v>
      </c>
      <c r="L5" s="8" t="s">
        <v>45</v>
      </c>
      <c r="M5" s="10">
        <v>1000</v>
      </c>
      <c r="N5" s="8"/>
    </row>
    <row r="6" spans="1:19" x14ac:dyDescent="0.2">
      <c r="A6" s="3">
        <v>45173</v>
      </c>
      <c r="B6" s="4" t="s">
        <v>39</v>
      </c>
      <c r="C6" s="4" t="s">
        <v>46</v>
      </c>
      <c r="D6" s="4">
        <v>1</v>
      </c>
      <c r="E6" s="5">
        <v>7999</v>
      </c>
      <c r="F6" s="4">
        <v>7999</v>
      </c>
      <c r="G6" s="4" t="s">
        <v>47</v>
      </c>
      <c r="H6" s="4" t="s">
        <v>48</v>
      </c>
      <c r="I6" s="4" t="s">
        <v>49</v>
      </c>
      <c r="J6" s="4" t="s">
        <v>50</v>
      </c>
      <c r="K6" s="4" t="s">
        <v>28</v>
      </c>
      <c r="L6" s="4" t="s">
        <v>51</v>
      </c>
      <c r="M6" s="6">
        <v>5000</v>
      </c>
      <c r="N6" s="4"/>
    </row>
    <row r="7" spans="1:19" x14ac:dyDescent="0.2">
      <c r="A7" s="7">
        <v>45176</v>
      </c>
      <c r="B7" s="8" t="s">
        <v>52</v>
      </c>
      <c r="C7" s="8" t="s">
        <v>53</v>
      </c>
      <c r="D7" s="8">
        <v>4</v>
      </c>
      <c r="E7" s="9">
        <v>45999</v>
      </c>
      <c r="F7" s="8">
        <v>183996</v>
      </c>
      <c r="G7" s="8" t="s">
        <v>54</v>
      </c>
      <c r="H7" s="8" t="s">
        <v>55</v>
      </c>
      <c r="I7" s="8" t="s">
        <v>18</v>
      </c>
      <c r="J7" s="8" t="s">
        <v>27</v>
      </c>
      <c r="K7" s="8" t="s">
        <v>35</v>
      </c>
      <c r="L7" s="8" t="s">
        <v>21</v>
      </c>
      <c r="M7" s="10">
        <v>30000</v>
      </c>
      <c r="N7" s="8"/>
    </row>
    <row r="8" spans="1:19" x14ac:dyDescent="0.2">
      <c r="A8" s="7">
        <v>45177</v>
      </c>
      <c r="B8" s="8" t="s">
        <v>56</v>
      </c>
      <c r="C8" s="8" t="s">
        <v>57</v>
      </c>
      <c r="D8" s="8">
        <v>6</v>
      </c>
      <c r="E8" s="9">
        <v>19999</v>
      </c>
      <c r="F8" s="8">
        <v>119994</v>
      </c>
      <c r="G8" s="8" t="s">
        <v>58</v>
      </c>
      <c r="H8" s="8" t="s">
        <v>59</v>
      </c>
      <c r="I8" s="8" t="s">
        <v>26</v>
      </c>
      <c r="J8" s="8" t="s">
        <v>34</v>
      </c>
      <c r="K8" s="8" t="s">
        <v>28</v>
      </c>
      <c r="L8" s="8" t="s">
        <v>21</v>
      </c>
      <c r="M8" s="11">
        <v>12000</v>
      </c>
      <c r="N8" s="8"/>
    </row>
    <row r="9" spans="1:19" x14ac:dyDescent="0.2">
      <c r="A9" s="7">
        <v>45178</v>
      </c>
      <c r="B9" s="8" t="s">
        <v>60</v>
      </c>
      <c r="C9" s="8" t="s">
        <v>61</v>
      </c>
      <c r="D9" s="8">
        <v>2</v>
      </c>
      <c r="E9" s="9">
        <v>85500</v>
      </c>
      <c r="F9" s="8">
        <v>171000</v>
      </c>
      <c r="G9" s="8" t="s">
        <v>62</v>
      </c>
      <c r="H9" s="8" t="s">
        <v>63</v>
      </c>
      <c r="I9" s="8" t="s">
        <v>43</v>
      </c>
      <c r="J9" s="8" t="s">
        <v>19</v>
      </c>
      <c r="K9" s="8" t="s">
        <v>20</v>
      </c>
      <c r="L9" s="8" t="s">
        <v>64</v>
      </c>
      <c r="M9" s="11">
        <v>50000</v>
      </c>
      <c r="N9" s="8"/>
    </row>
    <row r="10" spans="1:19" x14ac:dyDescent="0.2">
      <c r="A10" s="7">
        <v>45179</v>
      </c>
      <c r="B10" s="8" t="s">
        <v>65</v>
      </c>
      <c r="C10" s="8" t="s">
        <v>66</v>
      </c>
      <c r="D10" s="8">
        <v>5</v>
      </c>
      <c r="E10" s="9">
        <v>9999</v>
      </c>
      <c r="F10" s="8">
        <v>49995</v>
      </c>
      <c r="G10" s="8" t="s">
        <v>67</v>
      </c>
      <c r="H10" s="8" t="s">
        <v>68</v>
      </c>
      <c r="I10" s="8" t="s">
        <v>33</v>
      </c>
      <c r="J10" s="8" t="s">
        <v>44</v>
      </c>
      <c r="K10" s="8" t="s">
        <v>35</v>
      </c>
      <c r="L10" s="8" t="s">
        <v>69</v>
      </c>
      <c r="M10" s="11">
        <v>4000</v>
      </c>
      <c r="N10" s="8"/>
    </row>
    <row r="11" spans="1:19" x14ac:dyDescent="0.2">
      <c r="A11" s="7">
        <v>45180</v>
      </c>
      <c r="B11" s="8" t="s">
        <v>70</v>
      </c>
      <c r="C11" s="8" t="s">
        <v>71</v>
      </c>
      <c r="D11" s="8">
        <v>3</v>
      </c>
      <c r="E11" s="9">
        <v>65999</v>
      </c>
      <c r="F11" s="8">
        <v>197997</v>
      </c>
      <c r="G11" s="8" t="s">
        <v>72</v>
      </c>
      <c r="H11" s="8" t="s">
        <v>73</v>
      </c>
      <c r="I11" s="8" t="s">
        <v>49</v>
      </c>
      <c r="J11" s="8" t="s">
        <v>50</v>
      </c>
      <c r="K11" s="8" t="s">
        <v>28</v>
      </c>
      <c r="L11" s="8" t="s">
        <v>21</v>
      </c>
      <c r="M11" s="11">
        <v>40000</v>
      </c>
      <c r="N11" s="8"/>
    </row>
    <row r="12" spans="1:19" x14ac:dyDescent="0.2">
      <c r="A12" s="7">
        <v>45181</v>
      </c>
      <c r="B12" s="8" t="s">
        <v>74</v>
      </c>
      <c r="C12" s="8" t="s">
        <v>75</v>
      </c>
      <c r="D12" s="8">
        <v>7</v>
      </c>
      <c r="E12" s="9">
        <v>8500</v>
      </c>
      <c r="F12" s="8">
        <v>59500</v>
      </c>
      <c r="G12" s="8" t="s">
        <v>76</v>
      </c>
      <c r="H12" s="8" t="s">
        <v>77</v>
      </c>
      <c r="I12" s="8" t="s">
        <v>18</v>
      </c>
      <c r="J12" s="8" t="s">
        <v>19</v>
      </c>
      <c r="K12" s="8" t="s">
        <v>20</v>
      </c>
      <c r="L12" s="8" t="s">
        <v>69</v>
      </c>
      <c r="M12" s="11">
        <v>3500</v>
      </c>
      <c r="N12" s="8"/>
    </row>
    <row r="13" spans="1:19" x14ac:dyDescent="0.2">
      <c r="A13" s="7">
        <v>45182</v>
      </c>
      <c r="B13" s="8" t="s">
        <v>78</v>
      </c>
      <c r="C13" s="8" t="s">
        <v>79</v>
      </c>
      <c r="D13" s="8">
        <v>2</v>
      </c>
      <c r="E13" s="9">
        <v>22999</v>
      </c>
      <c r="F13" s="8">
        <v>45998</v>
      </c>
      <c r="G13" s="8" t="s">
        <v>80</v>
      </c>
      <c r="H13" s="8" t="s">
        <v>81</v>
      </c>
      <c r="I13" s="8" t="s">
        <v>26</v>
      </c>
      <c r="J13" s="8" t="s">
        <v>27</v>
      </c>
      <c r="K13" s="8" t="s">
        <v>35</v>
      </c>
      <c r="L13" s="8" t="s">
        <v>51</v>
      </c>
      <c r="M13" s="11">
        <v>15000</v>
      </c>
      <c r="N13" s="8"/>
    </row>
    <row r="14" spans="1:19" x14ac:dyDescent="0.2">
      <c r="A14" s="7">
        <v>45183</v>
      </c>
      <c r="B14" s="8" t="s">
        <v>82</v>
      </c>
      <c r="C14" s="8" t="s">
        <v>83</v>
      </c>
      <c r="D14" s="8">
        <v>8</v>
      </c>
      <c r="E14" s="9">
        <v>6999</v>
      </c>
      <c r="F14" s="8">
        <v>55992</v>
      </c>
      <c r="G14" s="8" t="s">
        <v>84</v>
      </c>
      <c r="H14" s="8" t="s">
        <v>85</v>
      </c>
      <c r="I14" s="8" t="s">
        <v>33</v>
      </c>
      <c r="J14" s="8" t="s">
        <v>34</v>
      </c>
      <c r="K14" s="8" t="s">
        <v>28</v>
      </c>
      <c r="L14" s="8" t="s">
        <v>21</v>
      </c>
      <c r="M14" s="11">
        <v>2500</v>
      </c>
      <c r="N14" s="8"/>
    </row>
    <row r="15" spans="1:19" x14ac:dyDescent="0.2">
      <c r="A15" s="7">
        <v>45184</v>
      </c>
      <c r="B15" s="8" t="s">
        <v>86</v>
      </c>
      <c r="C15" s="8" t="s">
        <v>87</v>
      </c>
      <c r="D15" s="8">
        <v>4</v>
      </c>
      <c r="E15" s="9">
        <v>14500</v>
      </c>
      <c r="F15" s="8">
        <v>58000</v>
      </c>
      <c r="G15" s="8" t="s">
        <v>88</v>
      </c>
      <c r="H15" s="8" t="s">
        <v>89</v>
      </c>
      <c r="I15" s="8" t="s">
        <v>43</v>
      </c>
      <c r="J15" s="8" t="s">
        <v>44</v>
      </c>
      <c r="K15" s="8" t="s">
        <v>20</v>
      </c>
      <c r="L15" s="8" t="s">
        <v>36</v>
      </c>
      <c r="M15" s="11">
        <v>7000</v>
      </c>
      <c r="N15" s="8"/>
    </row>
    <row r="16" spans="1:19" x14ac:dyDescent="0.2">
      <c r="A16" s="7">
        <v>45185</v>
      </c>
      <c r="B16" s="8" t="s">
        <v>90</v>
      </c>
      <c r="C16" s="8" t="s">
        <v>91</v>
      </c>
      <c r="D16" s="8">
        <v>1</v>
      </c>
      <c r="E16" s="9">
        <v>54999</v>
      </c>
      <c r="F16" s="8">
        <v>54999</v>
      </c>
      <c r="G16" s="8" t="s">
        <v>92</v>
      </c>
      <c r="H16" s="8" t="s">
        <v>93</v>
      </c>
      <c r="I16" s="8" t="s">
        <v>49</v>
      </c>
      <c r="J16" s="8" t="s">
        <v>50</v>
      </c>
      <c r="K16" s="8" t="s">
        <v>35</v>
      </c>
      <c r="L16" s="8" t="s">
        <v>21</v>
      </c>
      <c r="M16" s="11">
        <v>35000</v>
      </c>
      <c r="N16" s="8"/>
    </row>
    <row r="17" spans="1:21" x14ac:dyDescent="0.2">
      <c r="A17" s="7">
        <v>45186</v>
      </c>
      <c r="B17" s="8" t="s">
        <v>94</v>
      </c>
      <c r="C17" s="8" t="s">
        <v>95</v>
      </c>
      <c r="D17" s="8">
        <v>2</v>
      </c>
      <c r="E17" s="9">
        <v>89500</v>
      </c>
      <c r="F17" s="8">
        <v>179000</v>
      </c>
      <c r="G17" s="8" t="s">
        <v>96</v>
      </c>
      <c r="H17" s="8" t="s">
        <v>97</v>
      </c>
      <c r="I17" s="8" t="s">
        <v>18</v>
      </c>
      <c r="J17" s="8" t="s">
        <v>27</v>
      </c>
      <c r="K17" s="8" t="s">
        <v>28</v>
      </c>
      <c r="L17" s="8" t="s">
        <v>21</v>
      </c>
      <c r="M17" s="11">
        <v>60000</v>
      </c>
      <c r="N17" s="8"/>
    </row>
    <row r="18" spans="1:21" x14ac:dyDescent="0.2">
      <c r="A18" s="7">
        <v>45187</v>
      </c>
      <c r="B18" s="8" t="s">
        <v>98</v>
      </c>
      <c r="C18" s="8" t="s">
        <v>99</v>
      </c>
      <c r="D18" s="8">
        <v>3</v>
      </c>
      <c r="E18" s="9">
        <v>24999</v>
      </c>
      <c r="F18" s="8">
        <v>74997</v>
      </c>
      <c r="G18" s="8" t="s">
        <v>100</v>
      </c>
      <c r="H18" s="8" t="s">
        <v>101</v>
      </c>
      <c r="I18" s="8" t="s">
        <v>26</v>
      </c>
      <c r="J18" s="8" t="s">
        <v>19</v>
      </c>
      <c r="K18" s="8" t="s">
        <v>20</v>
      </c>
      <c r="L18" s="8" t="s">
        <v>21</v>
      </c>
      <c r="M18" s="11">
        <v>15000</v>
      </c>
      <c r="N18" s="8"/>
    </row>
    <row r="19" spans="1:21" x14ac:dyDescent="0.2">
      <c r="A19" s="7">
        <v>45188</v>
      </c>
      <c r="B19" s="8" t="s">
        <v>102</v>
      </c>
      <c r="C19" s="8" t="s">
        <v>103</v>
      </c>
      <c r="D19" s="8">
        <v>1</v>
      </c>
      <c r="E19" s="9">
        <v>120000</v>
      </c>
      <c r="F19" s="8">
        <v>120000</v>
      </c>
      <c r="G19" s="8" t="s">
        <v>104</v>
      </c>
      <c r="H19" s="8" t="s">
        <v>105</v>
      </c>
      <c r="I19" s="8" t="s">
        <v>43</v>
      </c>
      <c r="J19" s="8" t="s">
        <v>34</v>
      </c>
      <c r="K19" s="8" t="s">
        <v>35</v>
      </c>
      <c r="L19" s="8" t="s">
        <v>64</v>
      </c>
      <c r="M19" s="11">
        <v>80000</v>
      </c>
      <c r="N19" s="8"/>
    </row>
    <row r="20" spans="1:21" x14ac:dyDescent="0.2">
      <c r="A20" s="7">
        <v>45189</v>
      </c>
      <c r="B20" s="8" t="s">
        <v>106</v>
      </c>
      <c r="C20" s="8" t="s">
        <v>107</v>
      </c>
      <c r="D20" s="8">
        <v>4</v>
      </c>
      <c r="E20" s="9">
        <v>18999</v>
      </c>
      <c r="F20" s="8">
        <v>75996</v>
      </c>
      <c r="G20" s="8" t="s">
        <v>108</v>
      </c>
      <c r="H20" s="8" t="s">
        <v>109</v>
      </c>
      <c r="I20" s="8" t="s">
        <v>33</v>
      </c>
      <c r="J20" s="8" t="s">
        <v>44</v>
      </c>
      <c r="K20" s="8" t="s">
        <v>20</v>
      </c>
      <c r="L20" s="8" t="s">
        <v>36</v>
      </c>
      <c r="M20" s="11">
        <v>9000</v>
      </c>
      <c r="N20" s="8"/>
    </row>
    <row r="21" spans="1:21" x14ac:dyDescent="0.2">
      <c r="A21" s="7">
        <v>45190</v>
      </c>
      <c r="B21" s="8" t="s">
        <v>110</v>
      </c>
      <c r="C21" s="8" t="s">
        <v>111</v>
      </c>
      <c r="D21" s="8">
        <v>2</v>
      </c>
      <c r="E21" s="9">
        <v>55000</v>
      </c>
      <c r="F21" s="8">
        <v>110000</v>
      </c>
      <c r="G21" s="8" t="s">
        <v>112</v>
      </c>
      <c r="H21" s="8" t="s">
        <v>113</v>
      </c>
      <c r="I21" s="8" t="s">
        <v>49</v>
      </c>
      <c r="J21" s="8" t="s">
        <v>50</v>
      </c>
      <c r="K21" s="8" t="s">
        <v>28</v>
      </c>
      <c r="L21" s="8" t="s">
        <v>51</v>
      </c>
      <c r="M21" s="11">
        <v>35000</v>
      </c>
      <c r="N21" s="8"/>
    </row>
    <row r="22" spans="1:21" x14ac:dyDescent="0.2">
      <c r="A22" s="7">
        <v>45191</v>
      </c>
      <c r="B22" s="8" t="s">
        <v>114</v>
      </c>
      <c r="C22" s="8" t="s">
        <v>115</v>
      </c>
      <c r="D22" s="8">
        <v>5</v>
      </c>
      <c r="E22" s="9">
        <v>12500</v>
      </c>
      <c r="F22" s="8">
        <v>62500</v>
      </c>
      <c r="G22" s="8" t="s">
        <v>116</v>
      </c>
      <c r="H22" s="8" t="s">
        <v>117</v>
      </c>
      <c r="I22" s="8" t="s">
        <v>18</v>
      </c>
      <c r="J22" s="8" t="s">
        <v>27</v>
      </c>
      <c r="K22" s="8" t="s">
        <v>35</v>
      </c>
      <c r="L22" s="8" t="s">
        <v>21</v>
      </c>
      <c r="M22" s="11">
        <v>6000</v>
      </c>
      <c r="N22" s="8"/>
      <c r="U22" t="s">
        <v>118</v>
      </c>
    </row>
    <row r="23" spans="1:21" x14ac:dyDescent="0.2">
      <c r="A23" s="7">
        <v>45192</v>
      </c>
      <c r="B23" s="8" t="s">
        <v>119</v>
      </c>
      <c r="C23" s="8" t="s">
        <v>120</v>
      </c>
      <c r="D23" s="8">
        <v>6</v>
      </c>
      <c r="E23" s="9">
        <v>4999</v>
      </c>
      <c r="F23" s="8">
        <v>29994</v>
      </c>
      <c r="G23" s="8" t="s">
        <v>121</v>
      </c>
      <c r="H23" s="8" t="s">
        <v>122</v>
      </c>
      <c r="I23" s="8" t="s">
        <v>26</v>
      </c>
      <c r="J23" s="8" t="s">
        <v>19</v>
      </c>
      <c r="K23" s="8" t="s">
        <v>20</v>
      </c>
      <c r="L23" s="8" t="s">
        <v>123</v>
      </c>
      <c r="M23" s="11">
        <v>2000</v>
      </c>
      <c r="N23" s="8"/>
    </row>
    <row r="24" spans="1:21" x14ac:dyDescent="0.2">
      <c r="A24" s="7">
        <v>45193</v>
      </c>
      <c r="B24" s="8" t="s">
        <v>124</v>
      </c>
      <c r="C24" s="8" t="s">
        <v>125</v>
      </c>
      <c r="D24" s="8">
        <v>3</v>
      </c>
      <c r="E24" s="9">
        <v>39999</v>
      </c>
      <c r="F24" s="8">
        <v>119997</v>
      </c>
      <c r="G24" s="8" t="s">
        <v>126</v>
      </c>
      <c r="H24" s="8" t="s">
        <v>127</v>
      </c>
      <c r="I24" s="8" t="s">
        <v>43</v>
      </c>
      <c r="J24" s="8" t="s">
        <v>34</v>
      </c>
      <c r="K24" s="8" t="s">
        <v>28</v>
      </c>
      <c r="L24" s="8" t="s">
        <v>21</v>
      </c>
      <c r="M24" s="11">
        <v>25000</v>
      </c>
      <c r="N24" s="8"/>
    </row>
    <row r="25" spans="1:21" x14ac:dyDescent="0.2">
      <c r="A25" s="7">
        <v>45194</v>
      </c>
      <c r="B25" s="8" t="s">
        <v>128</v>
      </c>
      <c r="C25" s="8" t="s">
        <v>129</v>
      </c>
      <c r="D25" s="8">
        <v>1</v>
      </c>
      <c r="E25" s="9">
        <v>95000</v>
      </c>
      <c r="F25" s="8">
        <v>95000</v>
      </c>
      <c r="G25" s="8" t="s">
        <v>130</v>
      </c>
      <c r="H25" s="8" t="s">
        <v>131</v>
      </c>
      <c r="I25" s="8" t="s">
        <v>49</v>
      </c>
      <c r="J25" s="8" t="s">
        <v>44</v>
      </c>
      <c r="K25" s="8" t="s">
        <v>35</v>
      </c>
      <c r="L25" s="8" t="s">
        <v>51</v>
      </c>
      <c r="M25" s="11">
        <v>60000</v>
      </c>
      <c r="N25" s="8"/>
    </row>
    <row r="26" spans="1:21" x14ac:dyDescent="0.2">
      <c r="A26" s="7">
        <v>45195</v>
      </c>
      <c r="B26" s="8" t="s">
        <v>132</v>
      </c>
      <c r="C26" s="8" t="s">
        <v>133</v>
      </c>
      <c r="D26" s="8">
        <v>2</v>
      </c>
      <c r="E26" s="9">
        <v>150000</v>
      </c>
      <c r="F26" s="8">
        <v>300000</v>
      </c>
      <c r="G26" s="8" t="s">
        <v>134</v>
      </c>
      <c r="H26" s="8" t="s">
        <v>135</v>
      </c>
      <c r="I26" s="8" t="s">
        <v>33</v>
      </c>
      <c r="J26" s="8" t="s">
        <v>50</v>
      </c>
      <c r="K26" s="8" t="s">
        <v>20</v>
      </c>
      <c r="L26" s="8" t="s">
        <v>64</v>
      </c>
      <c r="M26" s="11">
        <v>100000</v>
      </c>
      <c r="N26" s="8"/>
    </row>
    <row r="27" spans="1:21" x14ac:dyDescent="0.2">
      <c r="A27" s="7">
        <v>45196</v>
      </c>
      <c r="B27" s="8" t="s">
        <v>136</v>
      </c>
      <c r="C27" s="8" t="s">
        <v>137</v>
      </c>
      <c r="D27" s="8">
        <v>7</v>
      </c>
      <c r="E27" s="9">
        <v>3999</v>
      </c>
      <c r="F27" s="8">
        <v>27993</v>
      </c>
      <c r="G27" s="8" t="s">
        <v>138</v>
      </c>
      <c r="H27" s="8" t="s">
        <v>139</v>
      </c>
      <c r="I27" s="8" t="s">
        <v>18</v>
      </c>
      <c r="J27" s="8" t="s">
        <v>19</v>
      </c>
      <c r="K27" s="8" t="s">
        <v>28</v>
      </c>
      <c r="L27" s="8" t="s">
        <v>69</v>
      </c>
      <c r="M27" s="11">
        <v>1500</v>
      </c>
      <c r="N27" s="8"/>
    </row>
    <row r="28" spans="1:21" x14ac:dyDescent="0.2">
      <c r="A28" s="7">
        <v>45197</v>
      </c>
      <c r="B28" s="8" t="s">
        <v>140</v>
      </c>
      <c r="C28" s="8" t="s">
        <v>141</v>
      </c>
      <c r="D28" s="8">
        <v>1</v>
      </c>
      <c r="E28" s="9">
        <v>450000</v>
      </c>
      <c r="F28" s="8">
        <v>450000</v>
      </c>
      <c r="G28" s="8" t="s">
        <v>142</v>
      </c>
      <c r="H28" s="8" t="s">
        <v>143</v>
      </c>
      <c r="I28" s="8" t="s">
        <v>26</v>
      </c>
      <c r="J28" s="8" t="s">
        <v>34</v>
      </c>
      <c r="K28" s="8" t="s">
        <v>35</v>
      </c>
      <c r="L28" s="8" t="s">
        <v>144</v>
      </c>
      <c r="M28" s="11">
        <v>320000</v>
      </c>
      <c r="N28" s="8"/>
    </row>
    <row r="29" spans="1:21" x14ac:dyDescent="0.2">
      <c r="A29" s="7">
        <v>45198</v>
      </c>
      <c r="B29" s="8" t="s">
        <v>145</v>
      </c>
      <c r="C29" s="8" t="s">
        <v>146</v>
      </c>
      <c r="D29" s="8">
        <v>4</v>
      </c>
      <c r="E29" s="9">
        <v>28500</v>
      </c>
      <c r="F29" s="8">
        <v>114000</v>
      </c>
      <c r="G29" s="8" t="s">
        <v>147</v>
      </c>
      <c r="H29" s="8" t="s">
        <v>148</v>
      </c>
      <c r="I29" s="8" t="s">
        <v>43</v>
      </c>
      <c r="J29" s="8" t="s">
        <v>27</v>
      </c>
      <c r="K29" s="8" t="s">
        <v>20</v>
      </c>
      <c r="L29" s="8" t="s">
        <v>21</v>
      </c>
      <c r="M29" s="11">
        <v>18000</v>
      </c>
      <c r="N29" s="8"/>
    </row>
    <row r="30" spans="1:21" x14ac:dyDescent="0.2">
      <c r="A30" s="7">
        <v>45199</v>
      </c>
      <c r="B30" s="8" t="s">
        <v>149</v>
      </c>
      <c r="C30" s="8" t="s">
        <v>150</v>
      </c>
      <c r="D30" s="8">
        <v>3</v>
      </c>
      <c r="E30" s="9">
        <v>79999</v>
      </c>
      <c r="F30" s="8">
        <v>239997</v>
      </c>
      <c r="G30" s="8" t="s">
        <v>151</v>
      </c>
      <c r="H30" s="8" t="s">
        <v>152</v>
      </c>
      <c r="I30" s="8" t="s">
        <v>33</v>
      </c>
      <c r="J30" s="8" t="s">
        <v>44</v>
      </c>
      <c r="K30" s="8" t="s">
        <v>28</v>
      </c>
      <c r="L30" s="8" t="s">
        <v>21</v>
      </c>
      <c r="M30" s="11">
        <v>50000</v>
      </c>
      <c r="N30" s="8"/>
    </row>
    <row r="31" spans="1:21" x14ac:dyDescent="0.2">
      <c r="A31" s="7">
        <v>45200</v>
      </c>
      <c r="B31" s="8" t="s">
        <v>153</v>
      </c>
      <c r="C31" s="8" t="s">
        <v>154</v>
      </c>
      <c r="D31" s="8">
        <v>2</v>
      </c>
      <c r="E31" s="9">
        <v>34999</v>
      </c>
      <c r="F31" s="8">
        <v>69998</v>
      </c>
      <c r="G31" s="8" t="s">
        <v>155</v>
      </c>
      <c r="H31" s="8" t="s">
        <v>156</v>
      </c>
      <c r="I31" s="8" t="s">
        <v>49</v>
      </c>
      <c r="J31" s="8" t="s">
        <v>50</v>
      </c>
      <c r="K31" s="8" t="s">
        <v>35</v>
      </c>
      <c r="L31" s="8" t="s">
        <v>51</v>
      </c>
      <c r="M31" s="11">
        <v>20000</v>
      </c>
      <c r="N31" s="8"/>
    </row>
    <row r="32" spans="1:21" x14ac:dyDescent="0.2">
      <c r="A32" s="7">
        <v>45201</v>
      </c>
      <c r="B32" s="8" t="s">
        <v>157</v>
      </c>
      <c r="C32" s="8" t="s">
        <v>158</v>
      </c>
      <c r="D32" s="8">
        <v>1</v>
      </c>
      <c r="E32" s="9">
        <v>110000</v>
      </c>
      <c r="F32" s="8">
        <v>110000</v>
      </c>
      <c r="G32" s="8" t="s">
        <v>159</v>
      </c>
      <c r="H32" s="8" t="s">
        <v>160</v>
      </c>
      <c r="I32" s="8" t="s">
        <v>18</v>
      </c>
      <c r="J32" s="8" t="s">
        <v>27</v>
      </c>
      <c r="K32" s="8" t="s">
        <v>20</v>
      </c>
      <c r="L32" s="8" t="s">
        <v>21</v>
      </c>
      <c r="M32" s="11">
        <v>75000</v>
      </c>
      <c r="N32" s="8"/>
    </row>
    <row r="33" spans="1:14" x14ac:dyDescent="0.2">
      <c r="A33" s="7">
        <v>45202</v>
      </c>
      <c r="B33" s="8" t="s">
        <v>161</v>
      </c>
      <c r="C33" s="8" t="s">
        <v>162</v>
      </c>
      <c r="D33" s="8">
        <v>5</v>
      </c>
      <c r="E33" s="9">
        <v>9500</v>
      </c>
      <c r="F33" s="8">
        <v>47500</v>
      </c>
      <c r="G33" s="8" t="s">
        <v>163</v>
      </c>
      <c r="H33" s="8" t="s">
        <v>164</v>
      </c>
      <c r="I33" s="8" t="s">
        <v>26</v>
      </c>
      <c r="J33" s="8" t="s">
        <v>19</v>
      </c>
      <c r="K33" s="8" t="s">
        <v>28</v>
      </c>
      <c r="L33" s="8" t="s">
        <v>21</v>
      </c>
      <c r="M33" s="11">
        <v>4000</v>
      </c>
      <c r="N33" s="8"/>
    </row>
    <row r="34" spans="1:14" x14ac:dyDescent="0.2">
      <c r="A34" s="7">
        <v>45203</v>
      </c>
      <c r="B34" s="8" t="s">
        <v>165</v>
      </c>
      <c r="C34" s="8" t="s">
        <v>166</v>
      </c>
      <c r="D34" s="8">
        <v>6</v>
      </c>
      <c r="E34" s="9">
        <v>16999</v>
      </c>
      <c r="F34" s="8">
        <v>101994</v>
      </c>
      <c r="G34" s="8" t="s">
        <v>167</v>
      </c>
      <c r="H34" s="8" t="s">
        <v>168</v>
      </c>
      <c r="I34" s="8" t="s">
        <v>43</v>
      </c>
      <c r="J34" s="8" t="s">
        <v>34</v>
      </c>
      <c r="K34" s="8" t="s">
        <v>35</v>
      </c>
      <c r="L34" s="8" t="s">
        <v>36</v>
      </c>
      <c r="M34" s="11">
        <v>8000</v>
      </c>
      <c r="N34" s="8"/>
    </row>
    <row r="35" spans="1:14" x14ac:dyDescent="0.2">
      <c r="A35" s="7">
        <v>45204</v>
      </c>
      <c r="B35" s="8" t="s">
        <v>169</v>
      </c>
      <c r="C35" s="8" t="s">
        <v>170</v>
      </c>
      <c r="D35" s="8">
        <v>2</v>
      </c>
      <c r="E35" s="9">
        <v>42000</v>
      </c>
      <c r="F35" s="8">
        <v>84000</v>
      </c>
      <c r="G35" s="8" t="s">
        <v>171</v>
      </c>
      <c r="H35" s="8" t="s">
        <v>172</v>
      </c>
      <c r="I35" s="8" t="s">
        <v>49</v>
      </c>
      <c r="J35" s="8" t="s">
        <v>44</v>
      </c>
      <c r="K35" s="8" t="s">
        <v>20</v>
      </c>
      <c r="L35" s="8" t="s">
        <v>51</v>
      </c>
      <c r="M35" s="11">
        <v>25000</v>
      </c>
      <c r="N35" s="8"/>
    </row>
    <row r="36" spans="1:14" x14ac:dyDescent="0.2">
      <c r="A36" s="7">
        <v>45205</v>
      </c>
      <c r="B36" s="8" t="s">
        <v>173</v>
      </c>
      <c r="C36" s="8" t="s">
        <v>174</v>
      </c>
      <c r="D36" s="8">
        <v>1</v>
      </c>
      <c r="E36" s="9">
        <v>320000</v>
      </c>
      <c r="F36" s="8">
        <v>320000</v>
      </c>
      <c r="G36" s="8" t="s">
        <v>175</v>
      </c>
      <c r="H36" s="8" t="s">
        <v>176</v>
      </c>
      <c r="I36" s="8" t="s">
        <v>33</v>
      </c>
      <c r="J36" s="8" t="s">
        <v>50</v>
      </c>
      <c r="K36" s="8" t="s">
        <v>28</v>
      </c>
      <c r="L36" s="8" t="s">
        <v>21</v>
      </c>
      <c r="M36" s="11">
        <v>250000</v>
      </c>
      <c r="N36" s="8"/>
    </row>
    <row r="37" spans="1:14" x14ac:dyDescent="0.2">
      <c r="A37" s="7">
        <v>45206</v>
      </c>
      <c r="B37" s="8" t="s">
        <v>177</v>
      </c>
      <c r="C37" s="8" t="s">
        <v>178</v>
      </c>
      <c r="D37" s="8">
        <v>3</v>
      </c>
      <c r="E37" s="9">
        <v>150000</v>
      </c>
      <c r="F37" s="8">
        <v>450000</v>
      </c>
      <c r="G37" s="8" t="s">
        <v>179</v>
      </c>
      <c r="H37" s="8" t="s">
        <v>180</v>
      </c>
      <c r="I37" s="8" t="s">
        <v>26</v>
      </c>
      <c r="J37" s="8" t="s">
        <v>27</v>
      </c>
      <c r="K37" s="8" t="s">
        <v>28</v>
      </c>
      <c r="L37" s="8" t="s">
        <v>21</v>
      </c>
      <c r="M37" s="11">
        <v>110000</v>
      </c>
      <c r="N37" s="8"/>
    </row>
    <row r="38" spans="1:14" x14ac:dyDescent="0.2">
      <c r="A38" s="7">
        <v>45207</v>
      </c>
      <c r="B38" s="8" t="s">
        <v>181</v>
      </c>
      <c r="C38" s="8" t="s">
        <v>182</v>
      </c>
      <c r="D38" s="8">
        <v>2</v>
      </c>
      <c r="E38" s="9">
        <v>320000</v>
      </c>
      <c r="F38" s="8">
        <v>640000</v>
      </c>
      <c r="G38" s="8" t="s">
        <v>183</v>
      </c>
      <c r="H38" s="8" t="s">
        <v>184</v>
      </c>
      <c r="I38" s="8" t="s">
        <v>18</v>
      </c>
      <c r="J38" s="8" t="s">
        <v>19</v>
      </c>
      <c r="K38" s="8" t="s">
        <v>20</v>
      </c>
      <c r="L38" s="8" t="s">
        <v>21</v>
      </c>
      <c r="M38" s="11">
        <v>250000</v>
      </c>
      <c r="N38" s="8"/>
    </row>
    <row r="39" spans="1:14" x14ac:dyDescent="0.2">
      <c r="A39" s="7">
        <v>45208</v>
      </c>
      <c r="B39" s="8" t="s">
        <v>185</v>
      </c>
      <c r="C39" s="8" t="s">
        <v>186</v>
      </c>
      <c r="D39" s="8">
        <v>4</v>
      </c>
      <c r="E39" s="9">
        <v>280000</v>
      </c>
      <c r="F39" s="8">
        <v>1120000</v>
      </c>
      <c r="G39" s="8" t="s">
        <v>187</v>
      </c>
      <c r="H39" s="8" t="s">
        <v>188</v>
      </c>
      <c r="I39" s="8" t="s">
        <v>33</v>
      </c>
      <c r="J39" s="8" t="s">
        <v>34</v>
      </c>
      <c r="K39" s="8" t="s">
        <v>35</v>
      </c>
      <c r="L39" s="8" t="s">
        <v>21</v>
      </c>
      <c r="M39" s="11">
        <v>200000</v>
      </c>
      <c r="N39" s="8"/>
    </row>
    <row r="40" spans="1:14" x14ac:dyDescent="0.2">
      <c r="A40" s="7">
        <v>45209</v>
      </c>
      <c r="B40" s="8" t="s">
        <v>189</v>
      </c>
      <c r="C40" s="8" t="s">
        <v>190</v>
      </c>
      <c r="D40" s="8">
        <v>2</v>
      </c>
      <c r="E40" s="9">
        <v>450000</v>
      </c>
      <c r="F40" s="8">
        <v>900000</v>
      </c>
      <c r="G40" s="8" t="s">
        <v>191</v>
      </c>
      <c r="H40" s="8" t="s">
        <v>192</v>
      </c>
      <c r="I40" s="8" t="s">
        <v>43</v>
      </c>
      <c r="J40" s="8" t="s">
        <v>44</v>
      </c>
      <c r="K40" s="8" t="s">
        <v>28</v>
      </c>
      <c r="L40" s="8" t="s">
        <v>51</v>
      </c>
      <c r="M40" s="11">
        <v>320000</v>
      </c>
      <c r="N40" s="8"/>
    </row>
    <row r="41" spans="1:14" x14ac:dyDescent="0.2">
      <c r="A41" s="7">
        <v>45210</v>
      </c>
      <c r="B41" s="8" t="s">
        <v>193</v>
      </c>
      <c r="C41" s="8" t="s">
        <v>194</v>
      </c>
      <c r="D41" s="8">
        <v>3</v>
      </c>
      <c r="E41" s="9">
        <v>390000</v>
      </c>
      <c r="F41" s="8">
        <v>1170000</v>
      </c>
      <c r="G41" s="8" t="s">
        <v>195</v>
      </c>
      <c r="H41" s="8" t="s">
        <v>196</v>
      </c>
      <c r="I41" s="8" t="s">
        <v>49</v>
      </c>
      <c r="J41" s="8" t="s">
        <v>50</v>
      </c>
      <c r="K41" s="8" t="s">
        <v>20</v>
      </c>
      <c r="L41" s="8" t="s">
        <v>21</v>
      </c>
      <c r="M41" s="11">
        <v>300000</v>
      </c>
      <c r="N41" s="8"/>
    </row>
    <row r="42" spans="1:14" x14ac:dyDescent="0.2">
      <c r="A42" s="7">
        <v>45211</v>
      </c>
      <c r="B42" s="8" t="s">
        <v>197</v>
      </c>
      <c r="C42" s="8" t="s">
        <v>198</v>
      </c>
      <c r="D42" s="8">
        <v>2</v>
      </c>
      <c r="E42" s="9">
        <v>520000</v>
      </c>
      <c r="F42" s="8">
        <v>1040000</v>
      </c>
      <c r="G42" s="8" t="s">
        <v>199</v>
      </c>
      <c r="H42" s="8" t="s">
        <v>200</v>
      </c>
      <c r="I42" s="8" t="s">
        <v>18</v>
      </c>
      <c r="J42" s="8" t="s">
        <v>27</v>
      </c>
      <c r="K42" s="8" t="s">
        <v>35</v>
      </c>
      <c r="L42" s="8" t="s">
        <v>51</v>
      </c>
      <c r="M42" s="11">
        <v>380000</v>
      </c>
      <c r="N42" s="8"/>
    </row>
    <row r="43" spans="1:14" x14ac:dyDescent="0.2">
      <c r="A43" s="7">
        <v>45212</v>
      </c>
      <c r="B43" s="8" t="s">
        <v>201</v>
      </c>
      <c r="C43" s="8" t="s">
        <v>202</v>
      </c>
      <c r="D43" s="8">
        <v>5</v>
      </c>
      <c r="E43" s="9">
        <v>180000</v>
      </c>
      <c r="F43" s="8">
        <v>900000</v>
      </c>
      <c r="G43" s="8" t="s">
        <v>203</v>
      </c>
      <c r="H43" s="8" t="s">
        <v>204</v>
      </c>
      <c r="I43" s="8" t="s">
        <v>26</v>
      </c>
      <c r="J43" s="8" t="s">
        <v>19</v>
      </c>
      <c r="K43" s="8" t="s">
        <v>28</v>
      </c>
      <c r="L43" s="8" t="s">
        <v>21</v>
      </c>
      <c r="M43" s="11">
        <v>120000</v>
      </c>
      <c r="N43" s="8"/>
    </row>
    <row r="44" spans="1:14" x14ac:dyDescent="0.2">
      <c r="A44" s="7">
        <v>45213</v>
      </c>
      <c r="B44" s="8" t="s">
        <v>205</v>
      </c>
      <c r="C44" s="8" t="s">
        <v>206</v>
      </c>
      <c r="D44" s="8">
        <v>6</v>
      </c>
      <c r="E44" s="9">
        <v>95000</v>
      </c>
      <c r="F44" s="8">
        <v>570000</v>
      </c>
      <c r="G44" s="8" t="s">
        <v>207</v>
      </c>
      <c r="H44" s="8" t="s">
        <v>208</v>
      </c>
      <c r="I44" s="8" t="s">
        <v>33</v>
      </c>
      <c r="J44" s="8" t="s">
        <v>44</v>
      </c>
      <c r="K44" s="8" t="s">
        <v>20</v>
      </c>
      <c r="L44" s="8" t="s">
        <v>64</v>
      </c>
      <c r="M44" s="11">
        <v>60000</v>
      </c>
      <c r="N44" s="8"/>
    </row>
    <row r="45" spans="1:14" x14ac:dyDescent="0.2">
      <c r="A45" s="7">
        <v>45214</v>
      </c>
      <c r="B45" s="8" t="s">
        <v>209</v>
      </c>
      <c r="C45" s="8" t="s">
        <v>210</v>
      </c>
      <c r="D45" s="8">
        <v>4</v>
      </c>
      <c r="E45" s="9">
        <v>250000</v>
      </c>
      <c r="F45" s="8">
        <v>1000000</v>
      </c>
      <c r="G45" s="8" t="s">
        <v>211</v>
      </c>
      <c r="H45" s="8" t="s">
        <v>212</v>
      </c>
      <c r="I45" s="8" t="s">
        <v>43</v>
      </c>
      <c r="J45" s="8" t="s">
        <v>34</v>
      </c>
      <c r="K45" s="8" t="s">
        <v>35</v>
      </c>
      <c r="L45" s="8" t="s">
        <v>21</v>
      </c>
      <c r="M45" s="11">
        <v>180000</v>
      </c>
      <c r="N45" s="8"/>
    </row>
    <row r="46" spans="1:14" x14ac:dyDescent="0.2">
      <c r="A46" s="7">
        <v>45215</v>
      </c>
      <c r="B46" s="8" t="s">
        <v>213</v>
      </c>
      <c r="C46" s="8" t="s">
        <v>214</v>
      </c>
      <c r="D46" s="8">
        <v>2</v>
      </c>
      <c r="E46" s="9">
        <v>600000</v>
      </c>
      <c r="F46" s="8">
        <v>1200000</v>
      </c>
      <c r="G46" s="8" t="s">
        <v>215</v>
      </c>
      <c r="H46" s="8" t="s">
        <v>216</v>
      </c>
      <c r="I46" s="8" t="s">
        <v>49</v>
      </c>
      <c r="J46" s="8" t="s">
        <v>50</v>
      </c>
      <c r="K46" s="8" t="s">
        <v>28</v>
      </c>
      <c r="L46" s="8" t="s">
        <v>51</v>
      </c>
      <c r="M46" s="11">
        <v>450000</v>
      </c>
      <c r="N46" s="8"/>
    </row>
    <row r="47" spans="1:14" x14ac:dyDescent="0.2">
      <c r="A47" s="7">
        <v>45216</v>
      </c>
      <c r="B47" s="8" t="s">
        <v>217</v>
      </c>
      <c r="C47" s="8" t="s">
        <v>218</v>
      </c>
      <c r="D47" s="8">
        <v>1</v>
      </c>
      <c r="E47" s="9">
        <v>1500000</v>
      </c>
      <c r="F47" s="8">
        <v>1500000</v>
      </c>
      <c r="G47" s="8" t="s">
        <v>219</v>
      </c>
      <c r="H47" s="8" t="s">
        <v>220</v>
      </c>
      <c r="I47" s="8" t="s">
        <v>18</v>
      </c>
      <c r="J47" s="8" t="s">
        <v>27</v>
      </c>
      <c r="K47" s="8" t="s">
        <v>20</v>
      </c>
      <c r="L47" s="8" t="s">
        <v>21</v>
      </c>
      <c r="M47" s="11">
        <v>1200000</v>
      </c>
      <c r="N47" s="8"/>
    </row>
    <row r="48" spans="1:14" x14ac:dyDescent="0.2">
      <c r="A48" s="7">
        <v>45217</v>
      </c>
      <c r="B48" s="8" t="s">
        <v>221</v>
      </c>
      <c r="C48" s="8" t="s">
        <v>222</v>
      </c>
      <c r="D48" s="8">
        <v>2</v>
      </c>
      <c r="E48" s="9">
        <v>980000</v>
      </c>
      <c r="F48" s="8">
        <v>1960000</v>
      </c>
      <c r="G48" s="8" t="s">
        <v>223</v>
      </c>
      <c r="H48" s="8" t="s">
        <v>224</v>
      </c>
      <c r="I48" s="8" t="s">
        <v>26</v>
      </c>
      <c r="J48" s="8" t="s">
        <v>19</v>
      </c>
      <c r="K48" s="8" t="s">
        <v>35</v>
      </c>
      <c r="L48" s="8" t="s">
        <v>21</v>
      </c>
      <c r="M48" s="11">
        <v>800000</v>
      </c>
      <c r="N48" s="8"/>
    </row>
    <row r="49" spans="1:14" x14ac:dyDescent="0.2">
      <c r="A49" s="7">
        <v>45218</v>
      </c>
      <c r="B49" s="8" t="s">
        <v>225</v>
      </c>
      <c r="C49" s="8" t="s">
        <v>226</v>
      </c>
      <c r="D49" s="8">
        <v>3</v>
      </c>
      <c r="E49" s="9">
        <v>420000</v>
      </c>
      <c r="F49" s="8">
        <v>1260000</v>
      </c>
      <c r="G49" s="8" t="s">
        <v>227</v>
      </c>
      <c r="H49" s="8" t="s">
        <v>228</v>
      </c>
      <c r="I49" s="8" t="s">
        <v>33</v>
      </c>
      <c r="J49" s="8" t="s">
        <v>44</v>
      </c>
      <c r="K49" s="8" t="s">
        <v>28</v>
      </c>
      <c r="L49" s="8" t="s">
        <v>21</v>
      </c>
      <c r="M49" s="11">
        <v>300000</v>
      </c>
      <c r="N49" s="8"/>
    </row>
    <row r="50" spans="1:14" x14ac:dyDescent="0.2">
      <c r="A50" s="7">
        <v>45219</v>
      </c>
      <c r="B50" s="8" t="s">
        <v>229</v>
      </c>
      <c r="C50" s="8" t="s">
        <v>230</v>
      </c>
      <c r="D50" s="8">
        <v>2</v>
      </c>
      <c r="E50" s="9">
        <v>750000</v>
      </c>
      <c r="F50" s="8">
        <v>1500000</v>
      </c>
      <c r="G50" s="8" t="s">
        <v>231</v>
      </c>
      <c r="H50" s="8" t="s">
        <v>232</v>
      </c>
      <c r="I50" s="8" t="s">
        <v>43</v>
      </c>
      <c r="J50" s="8" t="s">
        <v>34</v>
      </c>
      <c r="K50" s="8" t="s">
        <v>20</v>
      </c>
      <c r="L50" s="8" t="s">
        <v>144</v>
      </c>
      <c r="M50" s="11">
        <v>520000</v>
      </c>
      <c r="N50" s="8"/>
    </row>
    <row r="51" spans="1:14" x14ac:dyDescent="0.2">
      <c r="A51" s="7">
        <v>45220</v>
      </c>
      <c r="B51" s="8" t="s">
        <v>233</v>
      </c>
      <c r="C51" s="8" t="s">
        <v>234</v>
      </c>
      <c r="D51" s="8">
        <v>4</v>
      </c>
      <c r="E51" s="9">
        <v>210000</v>
      </c>
      <c r="F51" s="8">
        <v>840000</v>
      </c>
      <c r="G51" s="8" t="s">
        <v>235</v>
      </c>
      <c r="H51" s="8" t="s">
        <v>236</v>
      </c>
      <c r="I51" s="8" t="s">
        <v>49</v>
      </c>
      <c r="J51" s="8" t="s">
        <v>50</v>
      </c>
      <c r="K51" s="8" t="s">
        <v>35</v>
      </c>
      <c r="L51" s="8" t="s">
        <v>21</v>
      </c>
      <c r="M51" s="11">
        <v>150000</v>
      </c>
      <c r="N51" s="8"/>
    </row>
    <row r="52" spans="1:14" x14ac:dyDescent="0.2">
      <c r="A52" s="7">
        <v>45221</v>
      </c>
      <c r="B52" s="8" t="s">
        <v>237</v>
      </c>
      <c r="C52" s="8" t="s">
        <v>238</v>
      </c>
      <c r="D52" s="8">
        <v>1</v>
      </c>
      <c r="E52" s="9">
        <v>890000</v>
      </c>
      <c r="F52" s="8">
        <v>890000</v>
      </c>
      <c r="G52" s="8" t="s">
        <v>239</v>
      </c>
      <c r="H52" s="8" t="s">
        <v>240</v>
      </c>
      <c r="I52" s="8" t="s">
        <v>18</v>
      </c>
      <c r="J52" s="8" t="s">
        <v>27</v>
      </c>
      <c r="K52" s="8" t="s">
        <v>28</v>
      </c>
      <c r="L52" s="8" t="s">
        <v>51</v>
      </c>
      <c r="M52" s="11">
        <v>650000</v>
      </c>
      <c r="N52" s="8"/>
    </row>
    <row r="53" spans="1:14" x14ac:dyDescent="0.2">
      <c r="A53" s="7">
        <v>45222</v>
      </c>
      <c r="B53" s="8" t="s">
        <v>241</v>
      </c>
      <c r="C53" s="8" t="s">
        <v>242</v>
      </c>
      <c r="D53" s="8">
        <v>2</v>
      </c>
      <c r="E53" s="9">
        <v>670000</v>
      </c>
      <c r="F53" s="8">
        <v>1340000</v>
      </c>
      <c r="G53" s="8" t="s">
        <v>243</v>
      </c>
      <c r="H53" s="8" t="s">
        <v>244</v>
      </c>
      <c r="I53" s="8" t="s">
        <v>26</v>
      </c>
      <c r="J53" s="8" t="s">
        <v>19</v>
      </c>
      <c r="K53" s="8" t="s">
        <v>20</v>
      </c>
      <c r="L53" s="8" t="s">
        <v>245</v>
      </c>
      <c r="M53" s="11">
        <v>500000</v>
      </c>
      <c r="N53" s="8"/>
    </row>
    <row r="54" spans="1:14" x14ac:dyDescent="0.2">
      <c r="A54" s="7">
        <v>45223</v>
      </c>
      <c r="B54" s="8" t="s">
        <v>246</v>
      </c>
      <c r="C54" s="8" t="s">
        <v>247</v>
      </c>
      <c r="D54" s="8">
        <v>3</v>
      </c>
      <c r="E54" s="9">
        <v>350000</v>
      </c>
      <c r="F54" s="8">
        <v>1050000</v>
      </c>
      <c r="G54" s="8" t="s">
        <v>248</v>
      </c>
      <c r="H54" s="8" t="s">
        <v>249</v>
      </c>
      <c r="I54" s="8" t="s">
        <v>33</v>
      </c>
      <c r="J54" s="8" t="s">
        <v>44</v>
      </c>
      <c r="K54" s="8" t="s">
        <v>35</v>
      </c>
      <c r="L54" s="8" t="s">
        <v>21</v>
      </c>
      <c r="M54" s="11">
        <v>250000</v>
      </c>
      <c r="N54" s="8"/>
    </row>
    <row r="55" spans="1:14" x14ac:dyDescent="0.2">
      <c r="A55" s="7">
        <v>45224</v>
      </c>
      <c r="B55" s="8" t="s">
        <v>250</v>
      </c>
      <c r="C55" s="8" t="s">
        <v>251</v>
      </c>
      <c r="D55" s="8">
        <v>2</v>
      </c>
      <c r="E55" s="9">
        <v>1200000</v>
      </c>
      <c r="F55" s="8">
        <v>2400000</v>
      </c>
      <c r="G55" s="8" t="s">
        <v>252</v>
      </c>
      <c r="H55" s="8" t="s">
        <v>253</v>
      </c>
      <c r="I55" s="8" t="s">
        <v>43</v>
      </c>
      <c r="J55" s="8" t="s">
        <v>34</v>
      </c>
      <c r="K55" s="8" t="s">
        <v>28</v>
      </c>
      <c r="L55" s="8" t="s">
        <v>21</v>
      </c>
      <c r="M55" s="11">
        <v>900000</v>
      </c>
      <c r="N55" s="8"/>
    </row>
    <row r="56" spans="1:14" x14ac:dyDescent="0.2">
      <c r="A56" s="7">
        <v>45225</v>
      </c>
      <c r="B56" s="8" t="s">
        <v>254</v>
      </c>
      <c r="C56" s="8" t="s">
        <v>255</v>
      </c>
      <c r="D56" s="8">
        <v>3</v>
      </c>
      <c r="E56" s="9">
        <v>410000</v>
      </c>
      <c r="F56" s="8">
        <v>1230000</v>
      </c>
      <c r="G56" s="8" t="s">
        <v>256</v>
      </c>
      <c r="H56" s="8" t="s">
        <v>257</v>
      </c>
      <c r="I56" s="8" t="s">
        <v>49</v>
      </c>
      <c r="J56" s="8" t="s">
        <v>50</v>
      </c>
      <c r="K56" s="8" t="s">
        <v>20</v>
      </c>
      <c r="L56" s="8" t="s">
        <v>21</v>
      </c>
      <c r="M56" s="11">
        <v>320000</v>
      </c>
      <c r="N56" s="8"/>
    </row>
    <row r="57" spans="1:14" x14ac:dyDescent="0.2">
      <c r="A57" s="7"/>
      <c r="B57" s="8"/>
      <c r="C57" s="8"/>
      <c r="D57" s="8"/>
      <c r="E57" s="9"/>
      <c r="F57" s="8"/>
      <c r="G57" s="8"/>
      <c r="H57" s="8"/>
      <c r="I57" s="8"/>
      <c r="J57" s="8"/>
      <c r="K57" s="8"/>
      <c r="L57" s="8"/>
      <c r="N57" s="8"/>
    </row>
    <row r="60" spans="1:14" x14ac:dyDescent="0.2">
      <c r="A60" t="s">
        <v>8</v>
      </c>
      <c r="B60" t="s">
        <v>1</v>
      </c>
      <c r="C60" t="s">
        <v>258</v>
      </c>
      <c r="E60" t="s">
        <v>259</v>
      </c>
      <c r="F60" t="s">
        <v>258</v>
      </c>
      <c r="H60" t="s">
        <v>260</v>
      </c>
      <c r="I60" t="s">
        <v>258</v>
      </c>
      <c r="M60" s="12" t="s">
        <v>261</v>
      </c>
    </row>
    <row r="61" spans="1:14" x14ac:dyDescent="0.2">
      <c r="A61" t="s">
        <v>43</v>
      </c>
      <c r="B61" t="s">
        <v>60</v>
      </c>
      <c r="C61">
        <v>171000</v>
      </c>
      <c r="E61" s="12" t="s">
        <v>19</v>
      </c>
      <c r="F61">
        <v>5520981</v>
      </c>
      <c r="H61" s="12" t="s">
        <v>262</v>
      </c>
      <c r="I61">
        <v>21810977</v>
      </c>
      <c r="M61" s="12" t="s">
        <v>263</v>
      </c>
    </row>
    <row r="62" spans="1:14" x14ac:dyDescent="0.2">
      <c r="B62" t="s">
        <v>102</v>
      </c>
      <c r="C62">
        <v>120000</v>
      </c>
      <c r="E62" s="13" t="s">
        <v>19</v>
      </c>
      <c r="F62">
        <v>5520981</v>
      </c>
      <c r="H62" s="12" t="s">
        <v>264</v>
      </c>
      <c r="I62">
        <v>5338964</v>
      </c>
      <c r="M62" s="12" t="s">
        <v>265</v>
      </c>
    </row>
    <row r="63" spans="1:14" x14ac:dyDescent="0.2">
      <c r="B63" t="s">
        <v>124</v>
      </c>
      <c r="C63">
        <v>119997</v>
      </c>
      <c r="E63" s="12" t="s">
        <v>266</v>
      </c>
      <c r="F63">
        <v>5500993</v>
      </c>
      <c r="H63" s="12" t="s">
        <v>267</v>
      </c>
      <c r="I63">
        <v>159475</v>
      </c>
    </row>
    <row r="64" spans="1:14" x14ac:dyDescent="0.2">
      <c r="B64" t="s">
        <v>145</v>
      </c>
      <c r="C64">
        <v>114000</v>
      </c>
      <c r="E64" s="13" t="s">
        <v>50</v>
      </c>
      <c r="F64">
        <v>5500993</v>
      </c>
      <c r="H64" s="12" t="s">
        <v>268</v>
      </c>
      <c r="I64">
        <v>27309416</v>
      </c>
    </row>
    <row r="65" spans="1:6" x14ac:dyDescent="0.2">
      <c r="B65" t="s">
        <v>165</v>
      </c>
      <c r="C65">
        <v>101994</v>
      </c>
      <c r="E65" s="12" t="s">
        <v>269</v>
      </c>
      <c r="F65">
        <v>16287442</v>
      </c>
    </row>
    <row r="66" spans="1:6" x14ac:dyDescent="0.2">
      <c r="B66" t="s">
        <v>86</v>
      </c>
      <c r="C66">
        <v>58000</v>
      </c>
      <c r="E66" s="13" t="s">
        <v>27</v>
      </c>
      <c r="F66">
        <v>4835492</v>
      </c>
    </row>
    <row r="67" spans="1:6" x14ac:dyDescent="0.2">
      <c r="B67" t="s">
        <v>39</v>
      </c>
      <c r="C67">
        <v>15990</v>
      </c>
      <c r="E67" s="13" t="s">
        <v>44</v>
      </c>
      <c r="F67">
        <v>4398978</v>
      </c>
    </row>
    <row r="68" spans="1:6" x14ac:dyDescent="0.2">
      <c r="A68" t="s">
        <v>270</v>
      </c>
      <c r="C68">
        <v>700981</v>
      </c>
      <c r="E68" s="13" t="s">
        <v>34</v>
      </c>
      <c r="F68">
        <v>7052972</v>
      </c>
    </row>
    <row r="69" spans="1:6" x14ac:dyDescent="0.2">
      <c r="A69" t="s">
        <v>33</v>
      </c>
      <c r="B69" t="s">
        <v>173</v>
      </c>
      <c r="C69">
        <v>320000</v>
      </c>
      <c r="E69" s="12" t="s">
        <v>268</v>
      </c>
      <c r="F69">
        <v>27309416</v>
      </c>
    </row>
    <row r="70" spans="1:6" x14ac:dyDescent="0.2">
      <c r="B70" t="s">
        <v>132</v>
      </c>
      <c r="C70">
        <v>300000</v>
      </c>
      <c r="E70"/>
    </row>
    <row r="71" spans="1:6" x14ac:dyDescent="0.2">
      <c r="B71" t="s">
        <v>149</v>
      </c>
      <c r="C71">
        <v>239997</v>
      </c>
      <c r="E71"/>
    </row>
    <row r="72" spans="1:6" x14ac:dyDescent="0.2">
      <c r="B72" t="s">
        <v>106</v>
      </c>
      <c r="C72">
        <v>75996</v>
      </c>
      <c r="E72"/>
    </row>
    <row r="73" spans="1:6" x14ac:dyDescent="0.2">
      <c r="B73" t="s">
        <v>29</v>
      </c>
      <c r="C73">
        <v>64995</v>
      </c>
      <c r="E73"/>
    </row>
    <row r="74" spans="1:6" x14ac:dyDescent="0.2">
      <c r="B74" t="s">
        <v>82</v>
      </c>
      <c r="C74">
        <v>55992</v>
      </c>
      <c r="E74"/>
    </row>
    <row r="75" spans="1:6" x14ac:dyDescent="0.2">
      <c r="B75" t="s">
        <v>65</v>
      </c>
      <c r="C75">
        <v>49995</v>
      </c>
      <c r="E75"/>
    </row>
    <row r="76" spans="1:6" x14ac:dyDescent="0.2">
      <c r="A76" t="s">
        <v>271</v>
      </c>
      <c r="C76">
        <v>1106975</v>
      </c>
      <c r="E76"/>
    </row>
    <row r="77" spans="1:6" x14ac:dyDescent="0.2">
      <c r="A77" t="s">
        <v>26</v>
      </c>
      <c r="B77" t="s">
        <v>140</v>
      </c>
      <c r="C77">
        <v>450000</v>
      </c>
      <c r="E77"/>
    </row>
    <row r="78" spans="1:6" x14ac:dyDescent="0.2">
      <c r="B78" t="s">
        <v>22</v>
      </c>
      <c r="C78">
        <v>259998</v>
      </c>
    </row>
    <row r="79" spans="1:6" x14ac:dyDescent="0.2">
      <c r="B79" t="s">
        <v>56</v>
      </c>
      <c r="C79">
        <v>119994</v>
      </c>
    </row>
    <row r="80" spans="1:6" x14ac:dyDescent="0.2">
      <c r="B80" t="s">
        <v>98</v>
      </c>
      <c r="C80">
        <v>74997</v>
      </c>
    </row>
    <row r="81" spans="1:6" x14ac:dyDescent="0.2">
      <c r="B81" t="s">
        <v>161</v>
      </c>
      <c r="C81">
        <v>47500</v>
      </c>
      <c r="E81"/>
    </row>
    <row r="82" spans="1:6" x14ac:dyDescent="0.2">
      <c r="B82" t="s">
        <v>78</v>
      </c>
      <c r="C82">
        <v>45998</v>
      </c>
      <c r="E82"/>
    </row>
    <row r="83" spans="1:6" x14ac:dyDescent="0.2">
      <c r="B83" t="s">
        <v>119</v>
      </c>
      <c r="C83">
        <v>29994</v>
      </c>
      <c r="E83"/>
    </row>
    <row r="84" spans="1:6" x14ac:dyDescent="0.2">
      <c r="A84" t="s">
        <v>272</v>
      </c>
      <c r="C84">
        <v>1028481</v>
      </c>
      <c r="E84"/>
    </row>
    <row r="85" spans="1:6" x14ac:dyDescent="0.2">
      <c r="A85" t="s">
        <v>49</v>
      </c>
      <c r="B85" t="s">
        <v>70</v>
      </c>
      <c r="C85">
        <v>197997</v>
      </c>
      <c r="E85"/>
    </row>
    <row r="86" spans="1:6" x14ac:dyDescent="0.2">
      <c r="B86" t="s">
        <v>110</v>
      </c>
      <c r="C86">
        <v>110000</v>
      </c>
      <c r="E86"/>
    </row>
    <row r="87" spans="1:6" x14ac:dyDescent="0.2">
      <c r="B87" t="s">
        <v>128</v>
      </c>
      <c r="C87">
        <v>95000</v>
      </c>
      <c r="E87" t="s">
        <v>273</v>
      </c>
      <c r="F87" t="s">
        <v>258</v>
      </c>
    </row>
    <row r="88" spans="1:6" x14ac:dyDescent="0.2">
      <c r="B88" t="s">
        <v>169</v>
      </c>
      <c r="C88">
        <v>84000</v>
      </c>
      <c r="E88" s="12" t="s">
        <v>43</v>
      </c>
      <c r="F88">
        <v>6500981</v>
      </c>
    </row>
    <row r="89" spans="1:6" x14ac:dyDescent="0.2">
      <c r="B89" t="s">
        <v>153</v>
      </c>
      <c r="C89">
        <v>69998</v>
      </c>
      <c r="E89" s="12" t="s">
        <v>33</v>
      </c>
      <c r="F89">
        <v>5106975</v>
      </c>
    </row>
    <row r="90" spans="1:6" x14ac:dyDescent="0.2">
      <c r="B90" t="s">
        <v>90</v>
      </c>
      <c r="C90">
        <v>54999</v>
      </c>
      <c r="E90" s="12" t="s">
        <v>26</v>
      </c>
      <c r="F90">
        <v>5678481</v>
      </c>
    </row>
    <row r="91" spans="1:6" x14ac:dyDescent="0.2">
      <c r="B91" t="s">
        <v>39</v>
      </c>
      <c r="C91">
        <v>7999</v>
      </c>
      <c r="E91" s="12" t="s">
        <v>49</v>
      </c>
      <c r="F91">
        <v>5059993</v>
      </c>
    </row>
    <row r="92" spans="1:6" x14ac:dyDescent="0.2">
      <c r="A92" t="s">
        <v>274</v>
      </c>
      <c r="C92">
        <v>619993</v>
      </c>
      <c r="E92" s="12" t="s">
        <v>18</v>
      </c>
      <c r="F92">
        <v>4962986</v>
      </c>
    </row>
    <row r="93" spans="1:6" x14ac:dyDescent="0.2">
      <c r="A93" t="s">
        <v>18</v>
      </c>
      <c r="B93" t="s">
        <v>14</v>
      </c>
      <c r="C93">
        <v>269997</v>
      </c>
      <c r="E93" s="12" t="s">
        <v>268</v>
      </c>
      <c r="F93">
        <v>27309416</v>
      </c>
    </row>
    <row r="94" spans="1:6" x14ac:dyDescent="0.2">
      <c r="B94" t="s">
        <v>52</v>
      </c>
      <c r="C94">
        <v>183996</v>
      </c>
      <c r="E94"/>
    </row>
    <row r="95" spans="1:6" x14ac:dyDescent="0.2">
      <c r="B95" t="s">
        <v>94</v>
      </c>
      <c r="C95">
        <v>179000</v>
      </c>
      <c r="E95"/>
    </row>
    <row r="96" spans="1:6" x14ac:dyDescent="0.2">
      <c r="B96" t="s">
        <v>157</v>
      </c>
      <c r="C96">
        <v>110000</v>
      </c>
      <c r="E96"/>
    </row>
    <row r="97" spans="1:5" x14ac:dyDescent="0.2">
      <c r="B97" t="s">
        <v>114</v>
      </c>
      <c r="C97">
        <v>62500</v>
      </c>
      <c r="E97"/>
    </row>
    <row r="98" spans="1:5" x14ac:dyDescent="0.2">
      <c r="B98" t="s">
        <v>74</v>
      </c>
      <c r="C98">
        <v>59500</v>
      </c>
      <c r="E98"/>
    </row>
    <row r="99" spans="1:5" x14ac:dyDescent="0.2">
      <c r="B99" t="s">
        <v>136</v>
      </c>
      <c r="C99">
        <v>27993</v>
      </c>
      <c r="E99"/>
    </row>
    <row r="100" spans="1:5" x14ac:dyDescent="0.2">
      <c r="A100" t="s">
        <v>275</v>
      </c>
      <c r="C100">
        <v>892986</v>
      </c>
      <c r="E100"/>
    </row>
    <row r="101" spans="1:5" x14ac:dyDescent="0.2">
      <c r="A101" t="s">
        <v>268</v>
      </c>
      <c r="C101">
        <v>4349416</v>
      </c>
      <c r="E101"/>
    </row>
    <row r="102" spans="1:5" x14ac:dyDescent="0.2">
      <c r="E102"/>
    </row>
    <row r="103" spans="1:5" x14ac:dyDescent="0.2">
      <c r="E103"/>
    </row>
    <row r="104" spans="1:5" x14ac:dyDescent="0.2">
      <c r="E104"/>
    </row>
  </sheetData>
  <conditionalFormatting sqref="F1:F56">
    <cfRule type="iconSet" priority="1">
      <iconSet>
        <cfvo type="percent" val="0"/>
        <cfvo type="percent" val="33"/>
        <cfvo type="percent" val="67"/>
      </iconSet>
    </cfRule>
    <cfRule type="iconSet" priority="2">
      <iconSet>
        <cfvo type="percent" val="0"/>
        <cfvo type="percent" val="33"/>
        <cfvo type="percent" val="67"/>
      </iconSet>
    </cfRule>
  </conditionalFormatting>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 xmlns:x15="http://schemas.microsoft.com/office/spreadsheetml/2010/11/main" uri="{3A4CF648-6AED-40f4-86FF-DC5316D8AED3}">
      <x14:slicerList xmlns:x14="http://schemas.microsoft.com/office/spreadsheetml/2009/9/main">
        <x14:slicer r:id="rId8"/>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Tabla de ventas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Bartolome</dc:creator>
  <cp:lastModifiedBy>Adrian Bartolome</cp:lastModifiedBy>
  <dcterms:created xsi:type="dcterms:W3CDTF">2026-05-07T22:22:46Z</dcterms:created>
  <dcterms:modified xsi:type="dcterms:W3CDTF">2026-05-11T16:43:21Z</dcterms:modified>
</cp:coreProperties>
</file>