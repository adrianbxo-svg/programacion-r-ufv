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25"/>
  <workbookPr codeName="ThisWorkbook"/>
  <mc:AlternateContent xmlns:mc="http://schemas.openxmlformats.org/markup-compatibility/2006">
    <mc:Choice Requires="x15">
      <x15ac:absPath xmlns:x15ac="http://schemas.microsoft.com/office/spreadsheetml/2010/11/ac" url="/Users/adrianbartolome/Desktop/x/ufv/adn + ibm/herramientas tecnológicas para el análisis de datos y de negocios/excel/"/>
    </mc:Choice>
  </mc:AlternateContent>
  <xr:revisionPtr revIDLastSave="0" documentId="13_ncr:1_{BD07964C-2F2D-D24A-B19D-3CF40B70EC08}" xr6:coauthVersionLast="47" xr6:coauthVersionMax="47" xr10:uidLastSave="{00000000-0000-0000-0000-000000000000}"/>
  <bookViews>
    <workbookView xWindow="3880" yWindow="3160" windowWidth="27240" windowHeight="16180" xr2:uid="{5059B848-8A78-0746-A61C-CE763C12DB57}"/>
  </bookViews>
  <sheets>
    <sheet name="Tablero" sheetId="1" r:id="rId1"/>
  </sheets>
  <definedNames>
    <definedName name="SegmentaciónDeDatos_Metodo_de_pago2">#N/A</definedName>
  </definedNames>
  <calcPr calcId="181029"/>
  <extLst>
    <ext xmlns:x14="http://schemas.microsoft.com/office/spreadsheetml/2009/9/main" uri="{876F7934-8845-4945-9796-88D515C7AA90}">
      <x14:pivotCaches>
        <pivotCache cacheId="0" r:id="rId2"/>
      </x14:pivotCaches>
    </ext>
    <ext xmlns:x14="http://schemas.microsoft.com/office/spreadsheetml/2009/9/main" uri="{BBE1A952-AA13-448e-AADC-164F8A28A991}">
      <x14:slicerCaches>
        <x14:slicerCache r:id="rId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Trebuchet MS"/>
      <family val="2"/>
      <scheme val="minor"/>
    </font>
  </fonts>
  <fills count="3">
    <fill>
      <patternFill patternType="none"/>
    </fill>
    <fill>
      <patternFill patternType="gray125"/>
    </fill>
    <fill>
      <patternFill patternType="solid">
        <fgColor theme="4" tint="0.39997558519241921"/>
        <bgColor indexed="64"/>
      </patternFill>
    </fill>
  </fills>
  <borders count="1">
    <border>
      <left/>
      <right/>
      <top/>
      <bottom/>
      <diagonal/>
    </border>
  </borders>
  <cellStyleXfs count="1">
    <xf numFmtId="0" fontId="0" fillId="0" borderId="0"/>
  </cellStyleXfs>
  <cellXfs count="2">
    <xf numFmtId="0" fontId="0" fillId="0" borderId="0" xfId="0"/>
    <xf numFmtId="0" fontId="0" fillId="2"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microsoft.com/office/2007/relationships/slicerCache" Target="slicerCaches/slicerCache1.xml"/><Relationship Id="rId2" Type="http://schemas.openxmlformats.org/officeDocument/2006/relationships/pivotCacheDefinition" Target="pivotCache/pivotCacheDefinition1.xml"/><Relationship Id="rId1" Type="http://schemas.openxmlformats.org/officeDocument/2006/relationships/worksheet" Target="worksheets/sheet1.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Métodos de Pago y Total de venta</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s-E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s-E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s-E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980314960629921"/>
          <c:y val="0.17377333041703119"/>
          <c:w val="0.72549759405074365"/>
          <c:h val="0.53128864100320794"/>
        </c:manualLayout>
      </c:layout>
      <c:barChart>
        <c:barDir val="col"/>
        <c:grouping val="stacked"/>
        <c:varyColors val="0"/>
        <c:ser>
          <c:idx val="0"/>
          <c:order val="0"/>
          <c:tx>
            <c:v>Total</c:v>
          </c:tx>
          <c:spPr>
            <a:gradFill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s-E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5"/>
              <c:pt idx="0">
                <c:v>Efectivo Efectivo</c:v>
              </c:pt>
              <c:pt idx="1">
                <c:v>Pago por internet Paypal</c:v>
              </c:pt>
              <c:pt idx="2">
                <c:v>Pagos bancarios Tarjeta de credito</c:v>
              </c:pt>
              <c:pt idx="3">
                <c:v>Pagos bancarios Tarjeta de debito</c:v>
              </c:pt>
              <c:pt idx="4">
                <c:v>Pagos bancarios Transferencia Bancaria</c:v>
              </c:pt>
            </c:strLit>
          </c:cat>
          <c:val>
            <c:numLit>
              <c:formatCode>General</c:formatCode>
              <c:ptCount val="5"/>
              <c:pt idx="0">
                <c:v>5520981</c:v>
              </c:pt>
              <c:pt idx="1">
                <c:v>5500993</c:v>
              </c:pt>
              <c:pt idx="2">
                <c:v>4835492</c:v>
              </c:pt>
              <c:pt idx="3">
                <c:v>4398978</c:v>
              </c:pt>
              <c:pt idx="4">
                <c:v>7052972</c:v>
              </c:pt>
            </c:numLit>
          </c:val>
          <c:extLst>
            <c:ext xmlns:c16="http://schemas.microsoft.com/office/drawing/2014/chart" uri="{C3380CC4-5D6E-409C-BE32-E72D297353CC}">
              <c16:uniqueId val="{00000000-64DB-4842-B5FD-A96BBB9111D1}"/>
            </c:ext>
          </c:extLst>
        </c:ser>
        <c:dLbls>
          <c:dLblPos val="ctr"/>
          <c:showLegendKey val="0"/>
          <c:showVal val="1"/>
          <c:showCatName val="0"/>
          <c:showSerName val="0"/>
          <c:showPercent val="0"/>
          <c:showBubbleSize val="0"/>
        </c:dLbls>
        <c:gapWidth val="150"/>
        <c:overlap val="100"/>
        <c:axId val="1676433983"/>
        <c:axId val="1676685119"/>
      </c:barChart>
      <c:catAx>
        <c:axId val="167643398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s-ES"/>
          </a:p>
        </c:txPr>
        <c:crossAx val="1676685119"/>
        <c:crosses val="autoZero"/>
        <c:auto val="1"/>
        <c:lblAlgn val="ctr"/>
        <c:lblOffset val="100"/>
        <c:noMultiLvlLbl val="0"/>
      </c:catAx>
      <c:valAx>
        <c:axId val="1676685119"/>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s-ES"/>
          </a:p>
        </c:txPr>
        <c:crossAx val="16764339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s-E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774700</xdr:colOff>
      <xdr:row>3</xdr:row>
      <xdr:rowOff>12700</xdr:rowOff>
    </xdr:from>
    <xdr:to>
      <xdr:col>15</xdr:col>
      <xdr:colOff>660400</xdr:colOff>
      <xdr:row>13</xdr:row>
      <xdr:rowOff>12700</xdr:rowOff>
    </xdr:to>
    <xdr:sp macro="" textlink="">
      <xdr:nvSpPr>
        <xdr:cNvPr id="2" name="Rectángulo redondeado 1">
          <a:extLst>
            <a:ext uri="{FF2B5EF4-FFF2-40B4-BE49-F238E27FC236}">
              <a16:creationId xmlns:a16="http://schemas.microsoft.com/office/drawing/2014/main" id="{86A9BF4F-65E3-E648-9A3D-454C50B89667}"/>
            </a:ext>
          </a:extLst>
        </xdr:cNvPr>
        <xdr:cNvSpPr/>
      </xdr:nvSpPr>
      <xdr:spPr>
        <a:xfrm>
          <a:off x="3251200" y="622300"/>
          <a:ext cx="9791700" cy="203200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ES_tradnl" sz="3600"/>
            <a:t>TABLERO</a:t>
          </a:r>
          <a:r>
            <a:rPr lang="es-ES_tradnl" sz="3600" baseline="0"/>
            <a:t> DE CONTROL</a:t>
          </a:r>
          <a:endParaRPr lang="es-ES_tradnl" sz="3600"/>
        </a:p>
      </xdr:txBody>
    </xdr:sp>
    <xdr:clientData/>
  </xdr:twoCellAnchor>
  <xdr:twoCellAnchor>
    <xdr:from>
      <xdr:col>0</xdr:col>
      <xdr:colOff>190500</xdr:colOff>
      <xdr:row>7</xdr:row>
      <xdr:rowOff>38100</xdr:rowOff>
    </xdr:from>
    <xdr:to>
      <xdr:col>4</xdr:col>
      <xdr:colOff>304800</xdr:colOff>
      <xdr:row>14</xdr:row>
      <xdr:rowOff>127000</xdr:rowOff>
    </xdr:to>
    <xdr:sp macro="" textlink="">
      <xdr:nvSpPr>
        <xdr:cNvPr id="3" name="CuadroTexto 2">
          <a:extLst>
            <a:ext uri="{FF2B5EF4-FFF2-40B4-BE49-F238E27FC236}">
              <a16:creationId xmlns:a16="http://schemas.microsoft.com/office/drawing/2014/main" id="{531D04D9-7119-5C48-8E3C-301C1CAF7D34}"/>
            </a:ext>
          </a:extLst>
        </xdr:cNvPr>
        <xdr:cNvSpPr txBox="1"/>
      </xdr:nvSpPr>
      <xdr:spPr>
        <a:xfrm>
          <a:off x="190500" y="1460500"/>
          <a:ext cx="3416300" cy="1511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ES_tradnl" sz="2400">
              <a:solidFill>
                <a:schemeClr val="bg1"/>
              </a:solidFill>
            </a:rPr>
            <a:t>FILTROS</a:t>
          </a:r>
        </a:p>
      </xdr:txBody>
    </xdr:sp>
    <xdr:clientData/>
  </xdr:twoCellAnchor>
  <xdr:twoCellAnchor>
    <xdr:from>
      <xdr:col>3</xdr:col>
      <xdr:colOff>787400</xdr:colOff>
      <xdr:row>11</xdr:row>
      <xdr:rowOff>114300</xdr:rowOff>
    </xdr:from>
    <xdr:to>
      <xdr:col>15</xdr:col>
      <xdr:colOff>596900</xdr:colOff>
      <xdr:row>32</xdr:row>
      <xdr:rowOff>50800</xdr:rowOff>
    </xdr:to>
    <xdr:sp macro="" textlink="">
      <xdr:nvSpPr>
        <xdr:cNvPr id="4" name="Rectángulo redondeado 3">
          <a:extLst>
            <a:ext uri="{FF2B5EF4-FFF2-40B4-BE49-F238E27FC236}">
              <a16:creationId xmlns:a16="http://schemas.microsoft.com/office/drawing/2014/main" id="{5EFC46CE-A339-AB47-9C9F-D5DEDA221FA3}"/>
            </a:ext>
          </a:extLst>
        </xdr:cNvPr>
        <xdr:cNvSpPr/>
      </xdr:nvSpPr>
      <xdr:spPr>
        <a:xfrm>
          <a:off x="3263900" y="2349500"/>
          <a:ext cx="9715500" cy="4203700"/>
        </a:xfrm>
        <a:prstGeom prst="roundRect">
          <a:avLst/>
        </a:prstGeom>
        <a:solidFill>
          <a:schemeClr val="bg1"/>
        </a:solidFill>
        <a:effectLst>
          <a:outerShdw blurRad="152400" dist="317500" dir="5400000" sx="90000" sy="-19000" rotWithShape="0">
            <a:prstClr val="black">
              <a:alpha val="1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_tradnl" sz="1100"/>
        </a:p>
      </xdr:txBody>
    </xdr:sp>
    <xdr:clientData/>
  </xdr:twoCellAnchor>
  <xdr:twoCellAnchor>
    <xdr:from>
      <xdr:col>1</xdr:col>
      <xdr:colOff>165100</xdr:colOff>
      <xdr:row>13</xdr:row>
      <xdr:rowOff>38100</xdr:rowOff>
    </xdr:from>
    <xdr:to>
      <xdr:col>3</xdr:col>
      <xdr:colOff>342900</xdr:colOff>
      <xdr:row>19</xdr:row>
      <xdr:rowOff>152400</xdr:rowOff>
    </xdr:to>
    <mc:AlternateContent xmlns:mc="http://schemas.openxmlformats.org/markup-compatibility/2006" xmlns:a14="http://schemas.microsoft.com/office/drawing/2010/main">
      <mc:Choice Requires="a14">
        <xdr:graphicFrame macro="">
          <xdr:nvGraphicFramePr>
            <xdr:cNvPr id="5" name="Metodo de pago2 1">
              <a:extLst>
                <a:ext uri="{FF2B5EF4-FFF2-40B4-BE49-F238E27FC236}">
                  <a16:creationId xmlns:a16="http://schemas.microsoft.com/office/drawing/2014/main" id="{D3DE6629-1D34-944E-922B-FC560A0281BC}"/>
                </a:ext>
              </a:extLst>
            </xdr:cNvPr>
            <xdr:cNvGraphicFramePr/>
          </xdr:nvGraphicFramePr>
          <xdr:xfrm>
            <a:off x="0" y="0"/>
            <a:ext cx="0" cy="0"/>
          </xdr:xfrm>
          <a:graphic>
            <a:graphicData uri="http://schemas.microsoft.com/office/drawing/2010/slicer">
              <sle:slicer xmlns:sle="http://schemas.microsoft.com/office/drawing/2010/slicer" name="Metodo de pago2 1"/>
            </a:graphicData>
          </a:graphic>
        </xdr:graphicFrame>
      </mc:Choice>
      <mc:Fallback xmlns="">
        <xdr:sp macro="" textlink="">
          <xdr:nvSpPr>
            <xdr:cNvPr id="0" name=""/>
            <xdr:cNvSpPr>
              <a:spLocks noTextEdit="1"/>
            </xdr:cNvSpPr>
          </xdr:nvSpPr>
          <xdr:spPr>
            <a:xfrm>
              <a:off x="990600" y="2679700"/>
              <a:ext cx="1828800" cy="1333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692150</xdr:colOff>
      <xdr:row>14</xdr:row>
      <xdr:rowOff>63500</xdr:rowOff>
    </xdr:from>
    <xdr:to>
      <xdr:col>12</xdr:col>
      <xdr:colOff>647700</xdr:colOff>
      <xdr:row>29</xdr:row>
      <xdr:rowOff>165100</xdr:rowOff>
    </xdr:to>
    <xdr:graphicFrame macro="">
      <xdr:nvGraphicFramePr>
        <xdr:cNvPr id="6" name="Gráfico Metodos - Total">
          <a:extLst>
            <a:ext uri="{FF2B5EF4-FFF2-40B4-BE49-F238E27FC236}">
              <a16:creationId xmlns:a16="http://schemas.microsoft.com/office/drawing/2014/main" id="{AB787202-17BC-0443-BD3E-87B774D4B2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Herramientas%20Tecnolo&#769;gicas%20para%20el%20Ana&#769;lisis%20de%20Datos%20y%20de%20Negocios.%20Luis%20De%20Zabala.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uario" refreshedDate="46072.389624189818" createdVersion="8" refreshedVersion="8" minRefreshableVersion="3" recordCount="55" xr:uid="{241663AF-233C-A547-B26E-E7BC5191AACC}">
  <cacheSource type="worksheet">
    <worksheetSource name="Tabla13" r:id="rId2"/>
  </cacheSource>
  <cacheFields count="15">
    <cacheField name="Fecha de venta" numFmtId="14">
      <sharedItems containsSemiMixedTypes="0" containsNonDate="0" containsDate="1" containsString="0" minDate="2023-09-01T00:00:00" maxDate="2023-10-27T00:00:00"/>
    </cacheField>
    <cacheField name="ID  del producto " numFmtId="0">
      <sharedItems count="54">
        <s v="PROD002"/>
        <s v="PROD001"/>
        <s v="PROD003"/>
        <s v="PROD005"/>
        <s v="PROD006"/>
        <s v="PROD007"/>
        <s v="PROD008"/>
        <s v="PROD009"/>
        <s v="PROD010"/>
        <s v="PROD011"/>
        <s v="PROD012"/>
        <s v="PROD013"/>
        <s v="PROD014"/>
        <s v="PROD015"/>
        <s v="PROD016"/>
        <s v="PROD017"/>
        <s v="PROD018"/>
        <s v="PROD019"/>
        <s v="PROD020"/>
        <s v="PROD021"/>
        <s v="PROD022"/>
        <s v="PROD023"/>
        <s v="PROD024"/>
        <s v="PROD025"/>
        <s v="PROD026"/>
        <s v="PROD027"/>
        <s v="PROD028"/>
        <s v="PROD029"/>
        <s v="PROD030"/>
        <s v="PROD031"/>
        <s v="PROD032"/>
        <s v="PROD033"/>
        <s v="PROD034"/>
        <s v="PROD035"/>
        <s v="PROD036"/>
        <s v="PROD037"/>
        <s v="PROD038"/>
        <s v="PROD039"/>
        <s v="PROD040"/>
        <s v="PROD041"/>
        <s v="PROD042"/>
        <s v="PROD043"/>
        <s v="PROD044"/>
        <s v="PROD045"/>
        <s v="PROD046"/>
        <s v="PROD047"/>
        <s v="PROD048"/>
        <s v="PROD049"/>
        <s v="PROD050"/>
        <s v="PROD051"/>
        <s v="PROD052"/>
        <s v="PROD053"/>
        <s v="PROD054"/>
        <s v="PROD055"/>
      </sharedItems>
    </cacheField>
    <cacheField name="Nombre del producto" numFmtId="0">
      <sharedItems/>
    </cacheField>
    <cacheField name="Cantidad vendida" numFmtId="0">
      <sharedItems containsSemiMixedTypes="0" containsString="0" containsNumber="1" containsInteger="1" minValue="1" maxValue="10"/>
    </cacheField>
    <cacheField name="Precio unitario" numFmtId="0">
      <sharedItems containsSemiMixedTypes="0" containsString="0" containsNumber="1" containsInteger="1" minValue="1599" maxValue="1500000"/>
    </cacheField>
    <cacheField name="Total de venta" numFmtId="0">
      <sharedItems containsSemiMixedTypes="0" containsString="0" containsNumber="1" containsInteger="1" minValue="7999" maxValue="2400000" count="51">
        <n v="269997"/>
        <n v="259998"/>
        <n v="64995"/>
        <n v="15990"/>
        <n v="7999"/>
        <n v="183996"/>
        <n v="119994"/>
        <n v="171000"/>
        <n v="49995"/>
        <n v="197997"/>
        <n v="59500"/>
        <n v="45998"/>
        <n v="55992"/>
        <n v="58000"/>
        <n v="54999"/>
        <n v="179000"/>
        <n v="74997"/>
        <n v="120000"/>
        <n v="75996"/>
        <n v="110000"/>
        <n v="62500"/>
        <n v="29994"/>
        <n v="119997"/>
        <n v="95000"/>
        <n v="300000"/>
        <n v="27993"/>
        <n v="450000"/>
        <n v="114000"/>
        <n v="239997"/>
        <n v="69998"/>
        <n v="47500"/>
        <n v="101994"/>
        <n v="84000"/>
        <n v="320000"/>
        <n v="640000"/>
        <n v="1120000"/>
        <n v="900000"/>
        <n v="1170000"/>
        <n v="1040000"/>
        <n v="570000"/>
        <n v="1000000"/>
        <n v="1200000"/>
        <n v="1500000"/>
        <n v="1960000"/>
        <n v="1260000"/>
        <n v="840000"/>
        <n v="890000"/>
        <n v="1340000"/>
        <n v="1050000"/>
        <n v="2400000"/>
        <n v="1230000"/>
      </sharedItems>
    </cacheField>
    <cacheField name="ID del cliente" numFmtId="0">
      <sharedItems count="55">
        <s v="CLI002"/>
        <s v="CLI001"/>
        <s v="CLI003"/>
        <s v="CLI005"/>
        <s v="CLI004"/>
        <s v="CLI006"/>
        <s v="CLI007"/>
        <s v="CLI008"/>
        <s v="CLI009"/>
        <s v="CLI010"/>
        <s v="CLI011"/>
        <s v="CLI012"/>
        <s v="CLI013"/>
        <s v="CLI014"/>
        <s v="CLI015"/>
        <s v="CLI016"/>
        <s v="CLI017"/>
        <s v="CLI018"/>
        <s v="CLI019"/>
        <s v="CLI020"/>
        <s v="CLI021"/>
        <s v="CLI022"/>
        <s v="CLI023"/>
        <s v="CLI024"/>
        <s v="CLI025"/>
        <s v="CLI026"/>
        <s v="CLI027"/>
        <s v="CLI028"/>
        <s v="CLI029"/>
        <s v="CLI030"/>
        <s v="CLI031"/>
        <s v="CLI032"/>
        <s v="CLI033"/>
        <s v="CLI034"/>
        <s v="CLI035"/>
        <s v="CLI036"/>
        <s v="CLI037"/>
        <s v="CLI038"/>
        <s v="CLI039"/>
        <s v="CLI040"/>
        <s v="CLI041"/>
        <s v="CLI042"/>
        <s v="CLI043"/>
        <s v="CLI044"/>
        <s v="CLI045"/>
        <s v="CLI046"/>
        <s v="CLI047"/>
        <s v="CLI048"/>
        <s v="CLI049"/>
        <s v="CLI050"/>
        <s v="CLI051"/>
        <s v="CLI052"/>
        <s v="CLI053"/>
        <s v="CLI054"/>
        <s v="CLI055"/>
      </sharedItems>
    </cacheField>
    <cacheField name="Nombre del cliente" numFmtId="0">
      <sharedItems/>
    </cacheField>
    <cacheField name="Region o ubicación" numFmtId="0">
      <sharedItems count="5">
        <s v="Sur"/>
        <s v="Norte"/>
        <s v="Este"/>
        <s v="Centro"/>
        <s v="Oeste"/>
      </sharedItems>
    </cacheField>
    <cacheField name="Metodo de pago" numFmtId="0">
      <sharedItems count="5">
        <s v="Efectivo"/>
        <s v="Tarjeta de credito"/>
        <s v="Transferencia Bancaria"/>
        <s v="Tarjeta de debito"/>
        <s v="Paypal"/>
      </sharedItems>
      <fieldGroup par="14"/>
    </cacheField>
    <cacheField name="Vendedor" numFmtId="0">
      <sharedItems count="3">
        <s v="VEND002"/>
        <s v="VEND001"/>
        <s v="VEND003"/>
      </sharedItems>
    </cacheField>
    <cacheField name="Categoria del producto" numFmtId="0">
      <sharedItems/>
    </cacheField>
    <cacheField name="Costo del producto" numFmtId="0">
      <sharedItems containsSemiMixedTypes="0" containsString="0" containsNumber="1" containsInteger="1" minValue="1000" maxValue="1200000"/>
    </cacheField>
    <cacheField name="Margen de beneficio" numFmtId="0">
      <sharedItems containsNonDate="0" containsString="0" containsBlank="1"/>
    </cacheField>
    <cacheField name="Metodo de pago2" numFmtId="0" databaseField="0">
      <fieldGroup base="9">
        <discretePr count="5">
          <x v="0"/>
          <x v="2"/>
          <x v="2"/>
          <x v="2"/>
          <x v="1"/>
        </discretePr>
        <groupItems count="3">
          <s v="Efectivo"/>
          <s v="Paypal"/>
          <s v="Grupo1"/>
        </groupItems>
      </fieldGroup>
    </cacheField>
  </cacheFields>
  <extLst>
    <ext xmlns:x14="http://schemas.microsoft.com/office/spreadsheetml/2009/9/main" uri="{725AE2AE-9491-48be-B2B4-4EB974FC3084}">
      <x14:pivotCacheDefinition pivotCacheId="92926263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5">
  <r>
    <d v="2023-09-02T00:00:00"/>
    <x v="0"/>
    <s v="Smartphone samsung Galaxy"/>
    <n v="3"/>
    <n v="89999"/>
    <x v="0"/>
    <x v="0"/>
    <s v="Maria Garcia"/>
    <x v="0"/>
    <x v="0"/>
    <x v="0"/>
    <s v="Electronicos"/>
    <n v="70000"/>
    <m/>
  </r>
  <r>
    <d v="2023-09-01T00:00:00"/>
    <x v="1"/>
    <s v="Laptop Dell XPS"/>
    <n v="2"/>
    <n v="129999"/>
    <x v="1"/>
    <x v="1"/>
    <s v="Juan Perez"/>
    <x v="1"/>
    <x v="1"/>
    <x v="1"/>
    <s v="Electronicos"/>
    <n v="100000"/>
    <m/>
  </r>
  <r>
    <d v="2023-09-03T00:00:00"/>
    <x v="2"/>
    <s v="Zapatilla Nike Air Max"/>
    <n v="5"/>
    <n v="12999"/>
    <x v="2"/>
    <x v="2"/>
    <s v="Carlos Rodriguez"/>
    <x v="2"/>
    <x v="2"/>
    <x v="2"/>
    <s v="Ropa y calzado"/>
    <n v="8000"/>
    <m/>
  </r>
  <r>
    <d v="2023-09-05T00:00:00"/>
    <x v="3"/>
    <s v="Libro &quot;Cien anños de soledad"/>
    <n v="10"/>
    <n v="1599"/>
    <x v="3"/>
    <x v="3"/>
    <s v="Pedro Sanchez"/>
    <x v="3"/>
    <x v="3"/>
    <x v="0"/>
    <s v="Libros"/>
    <n v="1000"/>
    <m/>
  </r>
  <r>
    <d v="2023-09-04T00:00:00"/>
    <x v="3"/>
    <s v="Licuadora oster"/>
    <n v="1"/>
    <n v="7999"/>
    <x v="4"/>
    <x v="4"/>
    <s v="Ana Martinez"/>
    <x v="4"/>
    <x v="4"/>
    <x v="1"/>
    <s v="Electrodomesticos"/>
    <n v="5000"/>
    <m/>
  </r>
  <r>
    <d v="2023-09-07T00:00:00"/>
    <x v="4"/>
    <s v="Tablet Samsung Galaxy Tab"/>
    <n v="4"/>
    <n v="45999"/>
    <x v="5"/>
    <x v="5"/>
    <s v="Luis Fernandez"/>
    <x v="0"/>
    <x v="1"/>
    <x v="2"/>
    <s v="Electronicos"/>
    <n v="30000"/>
    <m/>
  </r>
  <r>
    <d v="2023-09-08T00:00:00"/>
    <x v="5"/>
    <s v="Audifonos Sony WH-1000XM4"/>
    <n v="6"/>
    <n v="19999"/>
    <x v="6"/>
    <x v="6"/>
    <s v="Camila Torres"/>
    <x v="1"/>
    <x v="2"/>
    <x v="1"/>
    <s v="Electronicos"/>
    <n v="12000"/>
    <m/>
  </r>
  <r>
    <d v="2023-09-09T00:00:00"/>
    <x v="6"/>
    <s v="Silla ergonomica oficina"/>
    <n v="2"/>
    <n v="85500"/>
    <x v="7"/>
    <x v="7"/>
    <s v="Jorge Ramirez"/>
    <x v="3"/>
    <x v="0"/>
    <x v="0"/>
    <s v="Muebles"/>
    <n v="50000"/>
    <m/>
  </r>
  <r>
    <d v="2023-09-10T00:00:00"/>
    <x v="7"/>
    <s v="Mouse Logitech MX Master"/>
    <n v="5"/>
    <n v="9999"/>
    <x v="8"/>
    <x v="8"/>
    <s v="Andrea Lopez"/>
    <x v="2"/>
    <x v="3"/>
    <x v="2"/>
    <s v="Accesorios"/>
    <n v="4000"/>
    <m/>
  </r>
  <r>
    <d v="2023-09-11T00:00:00"/>
    <x v="8"/>
    <s v="Monitor LG 27 pulgadas"/>
    <n v="3"/>
    <n v="65999"/>
    <x v="9"/>
    <x v="9"/>
    <s v="Diego Morales"/>
    <x v="4"/>
    <x v="4"/>
    <x v="1"/>
    <s v="Electronicos"/>
    <n v="40000"/>
    <m/>
  </r>
  <r>
    <d v="2023-09-12T00:00:00"/>
    <x v="9"/>
    <s v="Teclado mecanico Redragon"/>
    <n v="7"/>
    <n v="8500"/>
    <x v="10"/>
    <x v="10"/>
    <s v="Sofia Herrera"/>
    <x v="0"/>
    <x v="0"/>
    <x v="0"/>
    <s v="Accesorios"/>
    <n v="3500"/>
    <m/>
  </r>
  <r>
    <d v="2023-09-13T00:00:00"/>
    <x v="10"/>
    <s v="Cafetera Oster 12 tazas"/>
    <n v="2"/>
    <n v="22999"/>
    <x v="11"/>
    <x v="11"/>
    <s v="Miguel Castro"/>
    <x v="1"/>
    <x v="1"/>
    <x v="2"/>
    <s v="Electrodomesticos"/>
    <n v="15000"/>
    <m/>
  </r>
  <r>
    <d v="2023-09-14T00:00:00"/>
    <x v="11"/>
    <s v="Smartwatch Xiaomi Band 8"/>
    <n v="8"/>
    <n v="6999"/>
    <x v="12"/>
    <x v="12"/>
    <s v="Valeria Rojas"/>
    <x v="2"/>
    <x v="2"/>
    <x v="1"/>
    <s v="Electronicos"/>
    <n v="2500"/>
    <m/>
  </r>
  <r>
    <d v="2023-09-15T00:00:00"/>
    <x v="12"/>
    <s v="Mochila escolar Adidas"/>
    <n v="4"/>
    <n v="14500"/>
    <x v="13"/>
    <x v="13"/>
    <s v="Ricardo Vega"/>
    <x v="3"/>
    <x v="3"/>
    <x v="0"/>
    <s v="Ropa y calzado"/>
    <n v="7000"/>
    <m/>
  </r>
  <r>
    <d v="2023-09-16T00:00:00"/>
    <x v="13"/>
    <s v="Impresora HP DeskJet"/>
    <n v="1"/>
    <n v="54999"/>
    <x v="14"/>
    <x v="14"/>
    <s v="Elena Navarro"/>
    <x v="4"/>
    <x v="4"/>
    <x v="2"/>
    <s v="Electronicos"/>
    <n v="35000"/>
    <m/>
  </r>
  <r>
    <d v="2023-09-17T00:00:00"/>
    <x v="14"/>
    <s v="Camara Canon EOS M50"/>
    <n v="2"/>
    <n v="89500"/>
    <x v="15"/>
    <x v="15"/>
    <s v="Pablo Gutierrez"/>
    <x v="0"/>
    <x v="1"/>
    <x v="1"/>
    <s v="Electronicos"/>
    <n v="60000"/>
    <m/>
  </r>
  <r>
    <d v="2023-09-18T00:00:00"/>
    <x v="15"/>
    <s v="Altavoz JBL Charge 5"/>
    <n v="3"/>
    <n v="24999"/>
    <x v="16"/>
    <x v="16"/>
    <s v="Laura Medina"/>
    <x v="1"/>
    <x v="0"/>
    <x v="0"/>
    <s v="Electronicos"/>
    <n v="15000"/>
    <m/>
  </r>
  <r>
    <d v="2023-09-19T00:00:00"/>
    <x v="16"/>
    <s v="Mesa de escritorio madera"/>
    <n v="1"/>
    <n v="120000"/>
    <x v="17"/>
    <x v="17"/>
    <s v="Raul Paredes"/>
    <x v="3"/>
    <x v="2"/>
    <x v="2"/>
    <s v="Muebles"/>
    <n v="80000"/>
    <m/>
  </r>
  <r>
    <d v="2023-09-20T00:00:00"/>
    <x v="17"/>
    <s v="Zapatillas Adidas Runfalcon"/>
    <n v="4"/>
    <n v="18999"/>
    <x v="18"/>
    <x v="18"/>
    <s v="Daniela Soto"/>
    <x v="2"/>
    <x v="3"/>
    <x v="0"/>
    <s v="Ropa y calzado"/>
    <n v="9000"/>
    <m/>
  </r>
  <r>
    <d v="2023-09-21T00:00:00"/>
    <x v="18"/>
    <s v="Horno microondas Samsung"/>
    <n v="2"/>
    <n v="55000"/>
    <x v="19"/>
    <x v="19"/>
    <s v="Cesar Vargas"/>
    <x v="4"/>
    <x v="4"/>
    <x v="1"/>
    <s v="Electrodomesticos"/>
    <n v="35000"/>
    <m/>
  </r>
  <r>
    <d v="2023-09-22T00:00:00"/>
    <x v="19"/>
    <s v="Disco duro externo 1TB"/>
    <n v="5"/>
    <n v="12500"/>
    <x v="20"/>
    <x v="20"/>
    <s v="Mariana Ruiz"/>
    <x v="0"/>
    <x v="1"/>
    <x v="2"/>
    <s v="Electronicos"/>
    <n v="6000"/>
    <m/>
  </r>
  <r>
    <d v="2023-09-23T00:00:00"/>
    <x v="20"/>
    <s v="Lampara LED escritorio"/>
    <n v="6"/>
    <n v="4999"/>
    <x v="21"/>
    <x v="21"/>
    <s v="Julio Campos"/>
    <x v="1"/>
    <x v="0"/>
    <x v="0"/>
    <s v="Iluminacion"/>
    <n v="2000"/>
    <m/>
  </r>
  <r>
    <d v="2023-09-24T00:00:00"/>
    <x v="21"/>
    <s v="Tablet Lenovo Tab M10"/>
    <n v="3"/>
    <n v="39999"/>
    <x v="22"/>
    <x v="22"/>
    <s v="Paola Rios"/>
    <x v="3"/>
    <x v="2"/>
    <x v="1"/>
    <s v="Electronicos"/>
    <n v="25000"/>
    <m/>
  </r>
  <r>
    <d v="2023-09-25T00:00:00"/>
    <x v="22"/>
    <s v="Aspiradora Philips PowerPro"/>
    <n v="1"/>
    <n v="95000"/>
    <x v="23"/>
    <x v="23"/>
    <s v="Fernando Luna"/>
    <x v="4"/>
    <x v="3"/>
    <x v="2"/>
    <s v="Electrodomesticos"/>
    <n v="60000"/>
    <m/>
  </r>
  <r>
    <d v="2023-09-26T00:00:00"/>
    <x v="23"/>
    <s v="Silla gamer Cougar"/>
    <n v="2"/>
    <n v="150000"/>
    <x v="24"/>
    <x v="24"/>
    <s v="Kevin Salazar"/>
    <x v="2"/>
    <x v="4"/>
    <x v="0"/>
    <s v="Muebles"/>
    <n v="100000"/>
    <m/>
  </r>
  <r>
    <d v="2023-09-27T00:00:00"/>
    <x v="24"/>
    <s v="Reloj Casio digital"/>
    <n v="7"/>
    <n v="3999"/>
    <x v="25"/>
    <x v="25"/>
    <s v="Natalia Vega"/>
    <x v="0"/>
    <x v="0"/>
    <x v="1"/>
    <s v="Accesorios"/>
    <n v="1500"/>
    <m/>
  </r>
  <r>
    <d v="2023-09-28T00:00:00"/>
    <x v="25"/>
    <s v="Bicicleta urbana Trek"/>
    <n v="1"/>
    <n v="450000"/>
    <x v="26"/>
    <x v="26"/>
    <s v="Andres Molina"/>
    <x v="1"/>
    <x v="2"/>
    <x v="2"/>
    <s v="Deportes"/>
    <n v="320000"/>
    <m/>
  </r>
  <r>
    <d v="2023-09-29T00:00:00"/>
    <x v="26"/>
    <s v="Router TP-Link AX3000"/>
    <n v="4"/>
    <n v="28500"/>
    <x v="27"/>
    <x v="27"/>
    <s v="Gabriela Peña"/>
    <x v="3"/>
    <x v="1"/>
    <x v="0"/>
    <s v="Electronicos"/>
    <n v="18000"/>
    <m/>
  </r>
  <r>
    <d v="2023-09-30T00:00:00"/>
    <x v="27"/>
    <s v="Celular Xiaomi Redmi Note"/>
    <n v="3"/>
    <n v="79999"/>
    <x v="28"/>
    <x v="28"/>
    <s v="Hector Fuentes"/>
    <x v="2"/>
    <x v="3"/>
    <x v="1"/>
    <s v="Electronicos"/>
    <n v="50000"/>
    <m/>
  </r>
  <r>
    <d v="2023-10-01T00:00:00"/>
    <x v="28"/>
    <s v="Batidora Oster 6 velocidades"/>
    <n v="2"/>
    <n v="34999"/>
    <x v="29"/>
    <x v="29"/>
    <s v="Lucia Cabrera"/>
    <x v="4"/>
    <x v="4"/>
    <x v="2"/>
    <s v="Electrodomesticos"/>
    <n v="20000"/>
    <m/>
  </r>
  <r>
    <d v="2023-10-02T00:00:00"/>
    <x v="29"/>
    <s v="Impresora Epson EcoTank"/>
    <n v="1"/>
    <n v="110000"/>
    <x v="19"/>
    <x v="30"/>
    <s v="Martin Rojas"/>
    <x v="0"/>
    <x v="1"/>
    <x v="0"/>
    <s v="Electronicos"/>
    <n v="75000"/>
    <m/>
  </r>
  <r>
    <d v="2023-10-03T00:00:00"/>
    <x v="30"/>
    <s v="Auriculares Bluetooth JBL"/>
    <n v="5"/>
    <n v="9500"/>
    <x v="30"/>
    <x v="31"/>
    <s v="Carla Navarro"/>
    <x v="1"/>
    <x v="0"/>
    <x v="1"/>
    <s v="Electronicos"/>
    <n v="4000"/>
    <m/>
  </r>
  <r>
    <d v="2023-10-04T00:00:00"/>
    <x v="31"/>
    <s v="Mochila Nike deportiva"/>
    <n v="6"/>
    <n v="16999"/>
    <x v="31"/>
    <x v="32"/>
    <s v="Sergio Acosta"/>
    <x v="3"/>
    <x v="2"/>
    <x v="2"/>
    <s v="Ropa y calzado"/>
    <n v="8000"/>
    <m/>
  </r>
  <r>
    <d v="2023-10-05T00:00:00"/>
    <x v="32"/>
    <s v="Ventilador Torre Taurus"/>
    <n v="2"/>
    <n v="42000"/>
    <x v="32"/>
    <x v="33"/>
    <s v="Ana Beltran"/>
    <x v="4"/>
    <x v="3"/>
    <x v="0"/>
    <s v="Electrodomesticos"/>
    <n v="25000"/>
    <m/>
  </r>
  <r>
    <d v="2023-10-06T00:00:00"/>
    <x v="33"/>
    <s v="Smart TV LG 50 pulgadas"/>
    <n v="1"/>
    <n v="320000"/>
    <x v="33"/>
    <x v="34"/>
    <s v="David Herrera"/>
    <x v="2"/>
    <x v="4"/>
    <x v="1"/>
    <s v="Electronicos"/>
    <n v="250000"/>
    <m/>
  </r>
  <r>
    <d v="2023-10-07T00:00:00"/>
    <x v="34"/>
    <s v="Laptop HP Pavilion"/>
    <n v="3"/>
    <n v="150000"/>
    <x v="26"/>
    <x v="35"/>
    <s v="Alberto Cruz"/>
    <x v="1"/>
    <x v="1"/>
    <x v="1"/>
    <s v="Electronicos"/>
    <n v="110000"/>
    <m/>
  </r>
  <r>
    <d v="2023-10-08T00:00:00"/>
    <x v="35"/>
    <s v="iPhone 14"/>
    <n v="2"/>
    <n v="320000"/>
    <x v="34"/>
    <x v="36"/>
    <s v="Monica Reyes"/>
    <x v="0"/>
    <x v="0"/>
    <x v="0"/>
    <s v="Electronicos"/>
    <n v="250000"/>
    <m/>
  </r>
  <r>
    <d v="2023-10-09T00:00:00"/>
    <x v="36"/>
    <s v="Smart TV Samsung 55&quot;"/>
    <n v="4"/>
    <n v="280000"/>
    <x v="35"/>
    <x v="37"/>
    <s v="Javier Molina"/>
    <x v="2"/>
    <x v="2"/>
    <x v="2"/>
    <s v="Electronicos"/>
    <n v="200000"/>
    <m/>
  </r>
  <r>
    <d v="2023-10-10T00:00:00"/>
    <x v="37"/>
    <s v="Refrigeradora LG"/>
    <n v="2"/>
    <n v="450000"/>
    <x v="36"/>
    <x v="38"/>
    <s v="Patricia Gomez"/>
    <x v="3"/>
    <x v="3"/>
    <x v="1"/>
    <s v="Electrodomesticos"/>
    <n v="320000"/>
    <m/>
  </r>
  <r>
    <d v="2023-10-11T00:00:00"/>
    <x v="38"/>
    <s v="PlayStation 5"/>
    <n v="3"/>
    <n v="390000"/>
    <x v="37"/>
    <x v="39"/>
    <s v="Carlos Vega"/>
    <x v="4"/>
    <x v="4"/>
    <x v="0"/>
    <s v="Electronicos"/>
    <n v="300000"/>
    <m/>
  </r>
  <r>
    <d v="2023-10-12T00:00:00"/>
    <x v="39"/>
    <s v="Lavadora Samsung 18kg"/>
    <n v="2"/>
    <n v="520000"/>
    <x v="38"/>
    <x v="40"/>
    <s v="Luisa Herrera"/>
    <x v="0"/>
    <x v="1"/>
    <x v="2"/>
    <s v="Electrodomesticos"/>
    <n v="380000"/>
    <m/>
  </r>
  <r>
    <d v="2023-10-13T00:00:00"/>
    <x v="40"/>
    <s v="Monitor Gamer ASUS 27&quot;"/>
    <n v="5"/>
    <n v="180000"/>
    <x v="36"/>
    <x v="41"/>
    <s v="Rodrigo Salas"/>
    <x v="1"/>
    <x v="0"/>
    <x v="1"/>
    <s v="Electronicos"/>
    <n v="120000"/>
    <m/>
  </r>
  <r>
    <d v="2023-10-14T00:00:00"/>
    <x v="41"/>
    <s v="Silla Gamer Pro"/>
    <n v="6"/>
    <n v="95000"/>
    <x v="39"/>
    <x v="42"/>
    <s v="Diana Castro"/>
    <x v="2"/>
    <x v="3"/>
    <x v="0"/>
    <s v="Muebles"/>
    <n v="60000"/>
    <m/>
  </r>
  <r>
    <d v="2023-10-15T00:00:00"/>
    <x v="42"/>
    <s v="Tableta iPad Air"/>
    <n v="4"/>
    <n v="250000"/>
    <x v="40"/>
    <x v="43"/>
    <s v="Felipe Torres"/>
    <x v="3"/>
    <x v="2"/>
    <x v="2"/>
    <s v="Electronicos"/>
    <n v="180000"/>
    <m/>
  </r>
  <r>
    <d v="2023-10-16T00:00:00"/>
    <x v="43"/>
    <s v="Aire Acondicionado LG"/>
    <n v="2"/>
    <n v="600000"/>
    <x v="41"/>
    <x v="44"/>
    <s v="Maria Lopez"/>
    <x v="4"/>
    <x v="4"/>
    <x v="1"/>
    <s v="Electrodomesticos"/>
    <n v="450000"/>
    <m/>
  </r>
  <r>
    <d v="2023-10-17T00:00:00"/>
    <x v="44"/>
    <s v="PC Gamer RTX"/>
    <n v="1"/>
    <n v="1500000"/>
    <x v="42"/>
    <x v="45"/>
    <s v="Andres Rios"/>
    <x v="0"/>
    <x v="1"/>
    <x v="0"/>
    <s v="Electronicos"/>
    <n v="1200000"/>
    <m/>
  </r>
  <r>
    <d v="2023-10-18T00:00:00"/>
    <x v="45"/>
    <s v="MacBook Pro 14&quot;"/>
    <n v="2"/>
    <n v="980000"/>
    <x v="43"/>
    <x v="46"/>
    <s v="Sofia Martinez"/>
    <x v="1"/>
    <x v="0"/>
    <x v="2"/>
    <s v="Electronicos"/>
    <n v="800000"/>
    <m/>
  </r>
  <r>
    <d v="2023-10-19T00:00:00"/>
    <x v="46"/>
    <s v="Camara Sony Alpha"/>
    <n v="3"/>
    <n v="420000"/>
    <x v="44"/>
    <x v="47"/>
    <s v="Jose Ramirez"/>
    <x v="2"/>
    <x v="3"/>
    <x v="1"/>
    <s v="Electronicos"/>
    <n v="300000"/>
    <m/>
  </r>
  <r>
    <d v="2023-10-20T00:00:00"/>
    <x v="47"/>
    <s v="Bicicleta Electrica"/>
    <n v="2"/>
    <n v="750000"/>
    <x v="42"/>
    <x v="48"/>
    <s v="Camila Duarte"/>
    <x v="3"/>
    <x v="2"/>
    <x v="0"/>
    <s v="Deportes"/>
    <n v="520000"/>
    <m/>
  </r>
  <r>
    <d v="2023-10-21T00:00:00"/>
    <x v="48"/>
    <s v="Proyector Epson HD"/>
    <n v="4"/>
    <n v="210000"/>
    <x v="45"/>
    <x v="49"/>
    <s v="Diego Navarro"/>
    <x v="4"/>
    <x v="4"/>
    <x v="2"/>
    <s v="Electronicos"/>
    <n v="150000"/>
    <m/>
  </r>
  <r>
    <d v="2023-10-22T00:00:00"/>
    <x v="49"/>
    <s v="Horno Industrial"/>
    <n v="1"/>
    <n v="890000"/>
    <x v="46"/>
    <x v="50"/>
    <s v="Raul Mendoza"/>
    <x v="0"/>
    <x v="1"/>
    <x v="1"/>
    <s v="Electrodomesticos"/>
    <n v="650000"/>
    <m/>
  </r>
  <r>
    <d v="2023-10-23T00:00:00"/>
    <x v="50"/>
    <s v="Servidor NAS Synology"/>
    <n v="2"/>
    <n v="670000"/>
    <x v="47"/>
    <x v="51"/>
    <s v="Gabriel Ponce"/>
    <x v="1"/>
    <x v="0"/>
    <x v="0"/>
    <s v="Tecnologia"/>
    <n v="500000"/>
    <m/>
  </r>
  <r>
    <d v="2023-10-24T00:00:00"/>
    <x v="51"/>
    <s v="Drone DJI Mini 3"/>
    <n v="3"/>
    <n v="350000"/>
    <x v="48"/>
    <x v="52"/>
    <s v="Valeria Ruiz"/>
    <x v="2"/>
    <x v="3"/>
    <x v="2"/>
    <s v="Electronicos"/>
    <n v="250000"/>
    <m/>
  </r>
  <r>
    <d v="2023-10-25T00:00:00"/>
    <x v="52"/>
    <s v="Smart TV OLED LG 65&quot;"/>
    <n v="2"/>
    <n v="1200000"/>
    <x v="49"/>
    <x v="53"/>
    <s v="Hector Silva"/>
    <x v="3"/>
    <x v="2"/>
    <x v="1"/>
    <s v="Electronicos"/>
    <n v="900000"/>
    <m/>
  </r>
  <r>
    <d v="2023-10-26T00:00:00"/>
    <x v="53"/>
    <s v="Consola Xbox Series X"/>
    <n v="3"/>
    <n v="410000"/>
    <x v="50"/>
    <x v="54"/>
    <s v="Elena Torres"/>
    <x v="4"/>
    <x v="4"/>
    <x v="0"/>
    <s v="Electronicos"/>
    <n v="320000"/>
    <m/>
  </r>
</pivotCacheRecord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Metodo_de_pago2" xr10:uid="{EB7EF5FD-1A14-8A49-9034-EE11BC10E730}" sourceName="Metodo de pago2">
  <data>
    <tabular pivotCacheId="929262635">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etodo de pago2 1" xr10:uid="{1F06BFF6-5E31-CB49-9062-77AFADD76256}" cache="SegmentaciónDeDatos_Metodo_de_pago2" caption="Metodo de pago" rowHeight="251883"/>
</slicers>
</file>

<file path=xl/theme/theme1.xml><?xml version="1.0" encoding="utf-8"?>
<a:theme xmlns:a="http://schemas.openxmlformats.org/drawingml/2006/main" name="Berlin">
  <a:themeElements>
    <a:clrScheme name="Berlin">
      <a:dk1>
        <a:sysClr val="windowText" lastClr="000000"/>
      </a:dk1>
      <a:lt1>
        <a:sysClr val="window" lastClr="FFFFFF"/>
      </a:lt1>
      <a:dk2>
        <a:srgbClr val="9D360E"/>
      </a:dk2>
      <a:lt2>
        <a:srgbClr val="E7E6E6"/>
      </a:lt2>
      <a:accent1>
        <a:srgbClr val="F09415"/>
      </a:accent1>
      <a:accent2>
        <a:srgbClr val="C1B56B"/>
      </a:accent2>
      <a:accent3>
        <a:srgbClr val="4BAF73"/>
      </a:accent3>
      <a:accent4>
        <a:srgbClr val="5AA6C0"/>
      </a:accent4>
      <a:accent5>
        <a:srgbClr val="D17DF9"/>
      </a:accent5>
      <a:accent6>
        <a:srgbClr val="FA7E5C"/>
      </a:accent6>
      <a:hlink>
        <a:srgbClr val="FFAE3E"/>
      </a:hlink>
      <a:folHlink>
        <a:srgbClr val="FCC77E"/>
      </a:folHlink>
    </a:clrScheme>
    <a:fontScheme name="Berlin">
      <a:majorFont>
        <a:latin typeface="Trebuchet MS" panose="020B060302020202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Trebuchet MS" panose="020B0603020202020204"/>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Berlin">
      <a:fillStyleLst>
        <a:solidFill>
          <a:schemeClr val="phClr"/>
        </a:solidFill>
        <a:gradFill rotWithShape="1">
          <a:gsLst>
            <a:gs pos="0">
              <a:schemeClr val="phClr">
                <a:tint val="60000"/>
                <a:satMod val="100000"/>
                <a:lumMod val="110000"/>
              </a:schemeClr>
            </a:gs>
            <a:gs pos="100000">
              <a:schemeClr val="phClr">
                <a:tint val="70000"/>
                <a:satMod val="100000"/>
                <a:lumMod val="100000"/>
              </a:schemeClr>
            </a:gs>
          </a:gsLst>
          <a:lin ang="5400000" scaled="0"/>
        </a:gradFill>
        <a:gradFill rotWithShape="1">
          <a:gsLst>
            <a:gs pos="0">
              <a:schemeClr val="phClr">
                <a:tint val="94000"/>
                <a:satMod val="103000"/>
                <a:lumMod val="102000"/>
              </a:schemeClr>
            </a:gs>
            <a:gs pos="50000">
              <a:schemeClr val="phClr">
                <a:shade val="100000"/>
                <a:satMod val="110000"/>
                <a:lumMod val="100000"/>
              </a:schemeClr>
            </a:gs>
            <a:gs pos="100000">
              <a:schemeClr val="phClr">
                <a:shade val="78000"/>
                <a:satMod val="120000"/>
                <a:lumMod val="99000"/>
              </a:schemeClr>
            </a:gs>
          </a:gsLst>
          <a:lin ang="5400000" scaled="0"/>
        </a:gradFill>
      </a:fillStyleLst>
      <a:lnStyleLst>
        <a:ln w="9525" cap="flat" cmpd="sng" algn="ctr">
          <a:solidFill>
            <a:schemeClr val="phClr"/>
          </a:solidFill>
          <a:prstDash val="solid"/>
        </a:ln>
        <a:ln w="12700"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6000"/>
                <a:shade val="100000"/>
                <a:hueMod val="270000"/>
                <a:satMod val="200000"/>
                <a:lumMod val="128000"/>
              </a:schemeClr>
            </a:gs>
            <a:gs pos="50000">
              <a:schemeClr val="phClr">
                <a:shade val="100000"/>
                <a:hueMod val="100000"/>
                <a:satMod val="110000"/>
                <a:lumMod val="130000"/>
              </a:schemeClr>
            </a:gs>
            <a:gs pos="100000">
              <a:schemeClr val="phClr">
                <a:shade val="78000"/>
                <a:hueMod val="44000"/>
                <a:satMod val="200000"/>
                <a:lumMod val="69000"/>
              </a:schemeClr>
            </a:gs>
          </a:gsLst>
          <a:lin ang="2520000" scaled="0"/>
        </a:gradFill>
      </a:bgFillStyleLst>
    </a:fmtScheme>
  </a:themeElements>
  <a:objectDefaults/>
  <a:extraClrSchemeLst/>
  <a:extLst>
    <a:ext uri="{05A4C25C-085E-4340-85A3-A5531E510DB2}">
      <thm15:themeFamily xmlns:thm15="http://schemas.microsoft.com/office/thememl/2012/main" name="Berlin" id="{7B5DBA9E-B069-418E-9360-A61BDD0615A4}" vid="{C0CBE056-4EF4-4D92-969E-947779DA7AA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7B3A5A-11C6-E54F-A3EF-CE623EB62833}">
  <sheetPr codeName="Sheet14"/>
  <dimension ref="A1"/>
  <sheetViews>
    <sheetView tabSelected="1" workbookViewId="0">
      <selection activeCell="C6" sqref="C6"/>
    </sheetView>
  </sheetViews>
  <sheetFormatPr baseColWidth="10" defaultRowHeight="16" x14ac:dyDescent="0.2"/>
  <cols>
    <col min="1" max="16384" width="10.83203125" style="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Tablero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Adrian Bartolome</dc:creator>
  <cp:lastModifiedBy>Adrian Bartolome</cp:lastModifiedBy>
  <dcterms:created xsi:type="dcterms:W3CDTF">2026-05-07T22:22:47Z</dcterms:created>
  <dcterms:modified xsi:type="dcterms:W3CDTF">2026-05-11T16:43:32Z</dcterms:modified>
</cp:coreProperties>
</file>