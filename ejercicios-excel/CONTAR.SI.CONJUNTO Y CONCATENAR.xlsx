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drianbartolome/Desktop/x/ufv/adn + ibm/herramientas tecnológicas para el análisis de datos y de negocios/excel/"/>
    </mc:Choice>
  </mc:AlternateContent>
  <xr:revisionPtr revIDLastSave="0" documentId="8_{6C25C3D2-02C9-E34B-8942-635863F94B63}" xr6:coauthVersionLast="47" xr6:coauthVersionMax="47" xr10:uidLastSave="{00000000-0000-0000-0000-000000000000}"/>
  <bookViews>
    <workbookView xWindow="3880" yWindow="3160" windowWidth="27240" windowHeight="16180" xr2:uid="{83706151-885E-7443-BD4A-D1235A1B66D4}"/>
  </bookViews>
  <sheets>
    <sheet name="CONTAR.SI.CONJUNTO Y CONCATENA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G10" i="1"/>
  <c r="G9" i="1"/>
  <c r="G8" i="1"/>
  <c r="G6" i="1"/>
  <c r="G4" i="1"/>
  <c r="G3" i="1"/>
  <c r="G2" i="1"/>
</calcChain>
</file>

<file path=xl/sharedStrings.xml><?xml version="1.0" encoding="utf-8"?>
<sst xmlns="http://schemas.openxmlformats.org/spreadsheetml/2006/main" count="39" uniqueCount="29">
  <si>
    <t xml:space="preserve">Producto </t>
  </si>
  <si>
    <t xml:space="preserve">Color </t>
  </si>
  <si>
    <t xml:space="preserve">Stock </t>
  </si>
  <si>
    <t xml:space="preserve">CRITERIO </t>
  </si>
  <si>
    <t>CONTAR.SI</t>
  </si>
  <si>
    <t xml:space="preserve">Vaquero </t>
  </si>
  <si>
    <t>Azul</t>
  </si>
  <si>
    <t>Color</t>
  </si>
  <si>
    <t>Rojo</t>
  </si>
  <si>
    <t>Zapatillas</t>
  </si>
  <si>
    <t>Blanca</t>
  </si>
  <si>
    <t>Stock</t>
  </si>
  <si>
    <t>Camisa</t>
  </si>
  <si>
    <t>Producto</t>
  </si>
  <si>
    <t>Patilla</t>
  </si>
  <si>
    <t>Blusa</t>
  </si>
  <si>
    <t>Negra</t>
  </si>
  <si>
    <t>criterio 1</t>
  </si>
  <si>
    <t>criterio 2</t>
  </si>
  <si>
    <t>contar.siconjunto</t>
  </si>
  <si>
    <t xml:space="preserve">Sudadera </t>
  </si>
  <si>
    <t xml:space="preserve">Negra </t>
  </si>
  <si>
    <t>patillas</t>
  </si>
  <si>
    <t>Zapa</t>
  </si>
  <si>
    <t xml:space="preserve">Cami"*", "*"Anca, stock disponible &gt;5 </t>
  </si>
  <si>
    <t>Cami</t>
  </si>
  <si>
    <t>anca</t>
  </si>
  <si>
    <t>Tengo 12 unidades de Vaquero de color azul</t>
  </si>
  <si>
    <t>Igual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</si>
</sst>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0" fontId="1" fillId="2" borderId="2" xfId="0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92BCB-944F-3145-AB37-AFCDAABD05AA}" name="ProductosStock" displayName="ProductosStock" ref="A1:C8" totalsRowShown="0" headerRowDxfId="5" dataDxfId="4" tableBorderDxfId="3">
  <autoFilter ref="A1:C8" xr:uid="{1EB5ACFA-B0A8-EA43-8A4C-3BB6A3597D32}"/>
  <tableColumns count="3">
    <tableColumn id="1" xr3:uid="{4AD5AA34-17F8-AD43-8AAB-EEE63C06C6BF}" name="Producto " dataDxfId="2"/>
    <tableColumn id="2" xr3:uid="{BFDB259F-EC9D-2B45-BB7A-93FC0FFE069E}" name="Color " dataDxfId="1"/>
    <tableColumn id="3" xr3:uid="{203A31A2-0C7B-3A42-ACE3-0BFDF34770E0}" name="Stock 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49E0-AC58-2A45-8030-19EE96EF76FA}">
  <sheetPr codeName="Sheet16"/>
  <dimension ref="A1:G16"/>
  <sheetViews>
    <sheetView tabSelected="1" topLeftCell="D2" zoomScaleNormal="100" workbookViewId="0">
      <selection activeCell="G10" sqref="G10"/>
    </sheetView>
  </sheetViews>
  <sheetFormatPr baseColWidth="10" defaultRowHeight="16" x14ac:dyDescent="0.2"/>
  <cols>
    <col min="1" max="1" width="11.33203125" customWidth="1"/>
    <col min="6" max="6" width="32.83203125" customWidth="1"/>
    <col min="7" max="7" width="15" customWidth="1"/>
  </cols>
  <sheetData>
    <row r="1" spans="1:7" x14ac:dyDescent="0.2">
      <c r="A1" s="1" t="s">
        <v>0</v>
      </c>
      <c r="B1" s="1" t="s">
        <v>1</v>
      </c>
      <c r="C1" s="1" t="s">
        <v>2</v>
      </c>
      <c r="F1" t="s">
        <v>3</v>
      </c>
      <c r="G1" t="s">
        <v>4</v>
      </c>
    </row>
    <row r="2" spans="1:7" x14ac:dyDescent="0.2">
      <c r="A2" s="2" t="s">
        <v>5</v>
      </c>
      <c r="B2" s="2" t="s">
        <v>6</v>
      </c>
      <c r="C2" s="2">
        <v>12</v>
      </c>
      <c r="E2" t="s">
        <v>7</v>
      </c>
      <c r="F2" t="s">
        <v>8</v>
      </c>
      <c r="G2">
        <f>COUNTIF(ProductosStock[[Color ]],F2)</f>
        <v>1</v>
      </c>
    </row>
    <row r="3" spans="1:7" x14ac:dyDescent="0.2">
      <c r="A3" s="2" t="s">
        <v>9</v>
      </c>
      <c r="B3" s="2" t="s">
        <v>10</v>
      </c>
      <c r="C3" s="2">
        <v>44</v>
      </c>
      <c r="E3" t="s">
        <v>11</v>
      </c>
      <c r="F3">
        <v>40</v>
      </c>
      <c r="G3">
        <f>COUNTIF('CONTAR.SI.CONJUNTO Y CONCATENAR'!$A$1:$C$8,"&gt;="&amp;F3)</f>
        <v>1</v>
      </c>
    </row>
    <row r="4" spans="1:7" x14ac:dyDescent="0.2">
      <c r="A4" s="2" t="s">
        <v>12</v>
      </c>
      <c r="B4" s="2" t="s">
        <v>6</v>
      </c>
      <c r="C4" s="2">
        <v>12</v>
      </c>
      <c r="E4" t="s">
        <v>13</v>
      </c>
      <c r="F4" t="s">
        <v>14</v>
      </c>
      <c r="G4">
        <f>COUNTIF('CONTAR.SI.CONJUNTO Y CONCATENAR'!$A$1:$C$8,"*"&amp;F4&amp;"*")</f>
        <v>1</v>
      </c>
    </row>
    <row r="5" spans="1:7" x14ac:dyDescent="0.2">
      <c r="A5" s="2" t="s">
        <v>15</v>
      </c>
      <c r="B5" s="2" t="s">
        <v>16</v>
      </c>
      <c r="C5" s="2">
        <v>23</v>
      </c>
      <c r="E5" t="s">
        <v>17</v>
      </c>
      <c r="F5" t="s">
        <v>18</v>
      </c>
      <c r="G5" t="s">
        <v>19</v>
      </c>
    </row>
    <row r="6" spans="1:7" x14ac:dyDescent="0.2">
      <c r="A6" s="2" t="s">
        <v>20</v>
      </c>
      <c r="B6" s="2" t="s">
        <v>21</v>
      </c>
      <c r="C6" s="2">
        <v>12</v>
      </c>
      <c r="E6" t="s">
        <v>12</v>
      </c>
      <c r="F6" t="s">
        <v>10</v>
      </c>
      <c r="G6">
        <f>COUNTIFS(ProductosStock[[#All],[Producto ]], E6, ProductosStock[[#All],[Color ]], F6)</f>
        <v>1</v>
      </c>
    </row>
    <row r="7" spans="1:7" x14ac:dyDescent="0.2">
      <c r="A7" s="2" t="s">
        <v>5</v>
      </c>
      <c r="B7" s="2" t="s">
        <v>8</v>
      </c>
      <c r="C7" s="2">
        <v>11</v>
      </c>
    </row>
    <row r="8" spans="1:7" x14ac:dyDescent="0.2">
      <c r="A8" s="2" t="s">
        <v>12</v>
      </c>
      <c r="B8" s="2" t="s">
        <v>10</v>
      </c>
      <c r="C8" s="2">
        <v>10</v>
      </c>
      <c r="E8" s="3" t="s">
        <v>0</v>
      </c>
      <c r="F8" s="4" t="s">
        <v>22</v>
      </c>
      <c r="G8">
        <f>COUNTIF(ProductosStock[[#All],[Producto ]],"*"&amp;F8)</f>
        <v>1</v>
      </c>
    </row>
    <row r="9" spans="1:7" x14ac:dyDescent="0.2">
      <c r="E9" s="3" t="s">
        <v>0</v>
      </c>
      <c r="F9" s="4" t="s">
        <v>23</v>
      </c>
      <c r="G9">
        <f>COUNTIF(ProductosStock[[#All],[Producto ]],F9&amp;"*")</f>
        <v>1</v>
      </c>
    </row>
    <row r="10" spans="1:7" x14ac:dyDescent="0.2">
      <c r="E10" s="3" t="s">
        <v>0</v>
      </c>
      <c r="F10" t="s">
        <v>24</v>
      </c>
      <c r="G10">
        <f>COUNTIFS(ProductosStock[[#All],[Producto ]],F11&amp;"*",ProductosStock[[#All],[Color ]],"*"&amp;F12,ProductosStock[[#All],[Stock ]],"&gt;"&amp;F13)</f>
        <v>1</v>
      </c>
    </row>
    <row r="11" spans="1:7" x14ac:dyDescent="0.2">
      <c r="F11" t="s">
        <v>25</v>
      </c>
    </row>
    <row r="12" spans="1:7" x14ac:dyDescent="0.2">
      <c r="F12" t="s">
        <v>26</v>
      </c>
    </row>
    <row r="13" spans="1:7" x14ac:dyDescent="0.2">
      <c r="F13">
        <v>5</v>
      </c>
    </row>
    <row r="14" spans="1:7" x14ac:dyDescent="0.2">
      <c r="A14" t="s">
        <v>27</v>
      </c>
    </row>
    <row r="15" spans="1:7" x14ac:dyDescent="0.2">
      <c r="B15" s="5" t="s">
        <v>28</v>
      </c>
    </row>
    <row r="16" spans="1:7" x14ac:dyDescent="0.2">
      <c r="A16" t="str">
        <f>_xlfn.CONCAT("Tengo ",C2," unidades de ",A2,"de color ",B2)</f>
        <v>Tengo 12 unidades de Vaquero de color Azul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CONTAR.SI.CONJUNTO Y CONCATENAR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Bartolome</dc:creator>
  <cp:lastModifiedBy>Adrian Bartolome</cp:lastModifiedBy>
  <dcterms:created xsi:type="dcterms:W3CDTF">2026-05-07T22:22:47Z</dcterms:created>
  <dcterms:modified xsi:type="dcterms:W3CDTF">2026-05-07T22:22:48Z</dcterms:modified>
</cp:coreProperties>
</file>